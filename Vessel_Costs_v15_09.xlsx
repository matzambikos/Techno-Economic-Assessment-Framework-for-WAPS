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ther_Notes\2026\Marine_Engineering_Ζαμπικος\Sailing\waps_tanker_project_github\waps_tanker_project\"/>
    </mc:Choice>
  </mc:AlternateContent>
  <xr:revisionPtr revIDLastSave="0" documentId="13_ncr:1_{B37D5A3E-ED42-4580-B22D-63C968D3DC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neral_Modified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4" i="3" l="1"/>
  <c r="P265" i="3"/>
  <c r="AI66" i="3"/>
  <c r="AI65" i="3"/>
  <c r="AI64" i="3"/>
  <c r="AI63" i="3"/>
  <c r="AI62" i="3"/>
  <c r="AI61" i="3"/>
  <c r="AI60" i="3"/>
  <c r="AI59" i="3"/>
  <c r="AI58" i="3"/>
  <c r="AC222" i="3"/>
  <c r="AC223" i="3"/>
  <c r="AC224" i="3"/>
  <c r="AC225" i="3"/>
  <c r="AC226" i="3"/>
  <c r="AC227" i="3"/>
  <c r="AC228" i="3"/>
  <c r="AC229" i="3"/>
  <c r="AC230" i="3"/>
  <c r="AC231" i="3"/>
  <c r="AC232" i="3"/>
  <c r="AC233" i="3"/>
  <c r="AC234" i="3"/>
  <c r="AC235" i="3"/>
  <c r="AC236" i="3"/>
  <c r="AC237" i="3"/>
  <c r="AC238" i="3"/>
  <c r="AC239" i="3"/>
  <c r="AC240" i="3"/>
  <c r="AC241" i="3"/>
  <c r="AC242" i="3"/>
  <c r="AC243" i="3"/>
  <c r="AC244" i="3"/>
  <c r="AC245" i="3"/>
  <c r="AC221" i="3"/>
  <c r="AB222" i="3"/>
  <c r="AB223" i="3"/>
  <c r="AB224" i="3"/>
  <c r="AB225" i="3"/>
  <c r="AB226" i="3"/>
  <c r="AB227" i="3"/>
  <c r="AB228" i="3"/>
  <c r="AB229" i="3"/>
  <c r="AB230" i="3"/>
  <c r="AB231" i="3"/>
  <c r="AB232" i="3"/>
  <c r="AB233" i="3"/>
  <c r="AB234" i="3"/>
  <c r="AB235" i="3"/>
  <c r="AB236" i="3"/>
  <c r="AB237" i="3"/>
  <c r="AB238" i="3"/>
  <c r="AB239" i="3"/>
  <c r="AB240" i="3"/>
  <c r="AB241" i="3"/>
  <c r="AB242" i="3"/>
  <c r="AB243" i="3"/>
  <c r="AB244" i="3"/>
  <c r="AB245" i="3"/>
  <c r="AB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21" i="3"/>
  <c r="Z222" i="3"/>
  <c r="Z223" i="3"/>
  <c r="Z224" i="3"/>
  <c r="Z225" i="3"/>
  <c r="Z226" i="3"/>
  <c r="Z227" i="3"/>
  <c r="Z228" i="3"/>
  <c r="Z229" i="3"/>
  <c r="Z230" i="3"/>
  <c r="Z231" i="3"/>
  <c r="Z232" i="3"/>
  <c r="Z233" i="3"/>
  <c r="Z234" i="3"/>
  <c r="Z235" i="3"/>
  <c r="Z236" i="3"/>
  <c r="Z237" i="3"/>
  <c r="Z238" i="3"/>
  <c r="Z239" i="3"/>
  <c r="Z240" i="3"/>
  <c r="Z241" i="3"/>
  <c r="Z242" i="3"/>
  <c r="Z243" i="3"/>
  <c r="Z244" i="3"/>
  <c r="Z245" i="3"/>
  <c r="Z221" i="3"/>
  <c r="Y222" i="3"/>
  <c r="Y223" i="3"/>
  <c r="Y224" i="3"/>
  <c r="Y225" i="3"/>
  <c r="Y226" i="3"/>
  <c r="Y227" i="3"/>
  <c r="Y228" i="3"/>
  <c r="Y229" i="3"/>
  <c r="Y230" i="3"/>
  <c r="Y231" i="3"/>
  <c r="Y232" i="3"/>
  <c r="Y233" i="3"/>
  <c r="Y234" i="3"/>
  <c r="Y235" i="3"/>
  <c r="Y236" i="3"/>
  <c r="Y237" i="3"/>
  <c r="Y238" i="3"/>
  <c r="Y239" i="3"/>
  <c r="Y240" i="3"/>
  <c r="Y241" i="3"/>
  <c r="Y242" i="3"/>
  <c r="Y243" i="3"/>
  <c r="Y244" i="3"/>
  <c r="Y245" i="3"/>
  <c r="Y221" i="3"/>
  <c r="X245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21" i="3"/>
  <c r="S222" i="3"/>
  <c r="S223" i="3"/>
  <c r="S224" i="3"/>
  <c r="S225" i="3"/>
  <c r="S226" i="3"/>
  <c r="S227" i="3"/>
  <c r="S228" i="3"/>
  <c r="S229" i="3"/>
  <c r="S230" i="3"/>
  <c r="S231" i="3"/>
  <c r="S232" i="3"/>
  <c r="T232" i="3" s="1"/>
  <c r="S233" i="3"/>
  <c r="T233" i="3" s="1"/>
  <c r="S234" i="3"/>
  <c r="S235" i="3"/>
  <c r="S236" i="3"/>
  <c r="S237" i="3"/>
  <c r="S238" i="3"/>
  <c r="S239" i="3"/>
  <c r="S240" i="3"/>
  <c r="S241" i="3"/>
  <c r="S242" i="3"/>
  <c r="S243" i="3"/>
  <c r="S244" i="3"/>
  <c r="T244" i="3" s="1"/>
  <c r="S245" i="3"/>
  <c r="T245" i="3" s="1"/>
  <c r="S221" i="3"/>
  <c r="T221" i="3" s="1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21" i="3"/>
  <c r="T222" i="3"/>
  <c r="T223" i="3"/>
  <c r="T224" i="3"/>
  <c r="T225" i="3"/>
  <c r="T226" i="3"/>
  <c r="T227" i="3"/>
  <c r="T228" i="3"/>
  <c r="T229" i="3"/>
  <c r="T230" i="3"/>
  <c r="T231" i="3"/>
  <c r="T234" i="3"/>
  <c r="T235" i="3"/>
  <c r="T236" i="3"/>
  <c r="T237" i="3"/>
  <c r="T238" i="3"/>
  <c r="T239" i="3"/>
  <c r="T240" i="3"/>
  <c r="T241" i="3"/>
  <c r="T242" i="3"/>
  <c r="T243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21" i="3"/>
  <c r="P221" i="3" s="1"/>
  <c r="M245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21" i="3"/>
  <c r="H45" i="3"/>
  <c r="I45" i="3"/>
  <c r="J45" i="3"/>
  <c r="K45" i="3"/>
  <c r="L45" i="3"/>
  <c r="M45" i="3"/>
  <c r="H46" i="3"/>
  <c r="H52" i="3" s="1"/>
  <c r="I46" i="3"/>
  <c r="I52" i="3" s="1"/>
  <c r="J46" i="3"/>
  <c r="J52" i="3" s="1"/>
  <c r="K46" i="3"/>
  <c r="K52" i="3" s="1"/>
  <c r="L46" i="3"/>
  <c r="L52" i="3" s="1"/>
  <c r="M46" i="3"/>
  <c r="M52" i="3" s="1"/>
  <c r="H34" i="3"/>
  <c r="I34" i="3"/>
  <c r="J34" i="3"/>
  <c r="K34" i="3"/>
  <c r="L34" i="3"/>
  <c r="M34" i="3"/>
  <c r="N85" i="3"/>
  <c r="O85" i="3" s="1"/>
  <c r="N86" i="3"/>
  <c r="O86" i="3" s="1"/>
  <c r="N87" i="3"/>
  <c r="O87" i="3" s="1"/>
  <c r="N88" i="3"/>
  <c r="O88" i="3" s="1"/>
  <c r="N89" i="3"/>
  <c r="O89" i="3" s="1"/>
  <c r="N90" i="3"/>
  <c r="O90" i="3" s="1"/>
  <c r="N91" i="3"/>
  <c r="O91" i="3" s="1"/>
  <c r="N92" i="3"/>
  <c r="O92" i="3" s="1"/>
  <c r="N93" i="3"/>
  <c r="O93" i="3" s="1"/>
  <c r="N94" i="3"/>
  <c r="O94" i="3" s="1"/>
  <c r="N95" i="3"/>
  <c r="O95" i="3" s="1"/>
  <c r="N96" i="3"/>
  <c r="O96" i="3" s="1"/>
  <c r="N97" i="3"/>
  <c r="O97" i="3" s="1"/>
  <c r="N98" i="3"/>
  <c r="O98" i="3" s="1"/>
  <c r="N99" i="3"/>
  <c r="O99" i="3" s="1"/>
  <c r="N100" i="3"/>
  <c r="O100" i="3" s="1"/>
  <c r="N101" i="3"/>
  <c r="O101" i="3" s="1"/>
  <c r="N102" i="3"/>
  <c r="O102" i="3" s="1"/>
  <c r="N103" i="3"/>
  <c r="O103" i="3" s="1"/>
  <c r="N104" i="3"/>
  <c r="O104" i="3" s="1"/>
  <c r="N105" i="3"/>
  <c r="O105" i="3" s="1"/>
  <c r="N106" i="3"/>
  <c r="O106" i="3" s="1"/>
  <c r="N107" i="3"/>
  <c r="O107" i="3" s="1"/>
  <c r="N108" i="3"/>
  <c r="O108" i="3" s="1"/>
  <c r="N109" i="3"/>
  <c r="O109" i="3" s="1"/>
  <c r="N110" i="3"/>
  <c r="O110" i="3" s="1"/>
  <c r="N111" i="3"/>
  <c r="O111" i="3" s="1"/>
  <c r="N112" i="3"/>
  <c r="O112" i="3" s="1"/>
  <c r="N113" i="3"/>
  <c r="O113" i="3" s="1"/>
  <c r="N114" i="3"/>
  <c r="O114" i="3" s="1"/>
  <c r="N115" i="3"/>
  <c r="O115" i="3" s="1"/>
  <c r="N116" i="3"/>
  <c r="O116" i="3" s="1"/>
  <c r="N117" i="3"/>
  <c r="O117" i="3" s="1"/>
  <c r="N118" i="3"/>
  <c r="O118" i="3" s="1"/>
  <c r="N119" i="3"/>
  <c r="O119" i="3" s="1"/>
  <c r="N120" i="3"/>
  <c r="O120" i="3" s="1"/>
  <c r="N121" i="3"/>
  <c r="O121" i="3" s="1"/>
  <c r="N122" i="3"/>
  <c r="O122" i="3" s="1"/>
  <c r="N123" i="3"/>
  <c r="O123" i="3" s="1"/>
  <c r="N124" i="3"/>
  <c r="O124" i="3" s="1"/>
  <c r="N125" i="3"/>
  <c r="O125" i="3" s="1"/>
  <c r="N126" i="3"/>
  <c r="O126" i="3" s="1"/>
  <c r="N127" i="3"/>
  <c r="O127" i="3" s="1"/>
  <c r="N128" i="3"/>
  <c r="O128" i="3" s="1"/>
  <c r="N129" i="3"/>
  <c r="O129" i="3" s="1"/>
  <c r="N130" i="3"/>
  <c r="O130" i="3" s="1"/>
  <c r="N131" i="3"/>
  <c r="O131" i="3" s="1"/>
  <c r="N132" i="3"/>
  <c r="O132" i="3" s="1"/>
  <c r="N133" i="3"/>
  <c r="O133" i="3" s="1"/>
  <c r="N134" i="3"/>
  <c r="O134" i="3" s="1"/>
  <c r="N135" i="3"/>
  <c r="O135" i="3" s="1"/>
  <c r="N136" i="3"/>
  <c r="O136" i="3" s="1"/>
  <c r="N137" i="3"/>
  <c r="O137" i="3" s="1"/>
  <c r="N138" i="3"/>
  <c r="O138" i="3" s="1"/>
  <c r="N139" i="3"/>
  <c r="O139" i="3" s="1"/>
  <c r="N140" i="3"/>
  <c r="O140" i="3" s="1"/>
  <c r="N141" i="3"/>
  <c r="O141" i="3" s="1"/>
  <c r="N142" i="3"/>
  <c r="O142" i="3" s="1"/>
  <c r="N143" i="3"/>
  <c r="O143" i="3" s="1"/>
  <c r="N144" i="3"/>
  <c r="O144" i="3" s="1"/>
  <c r="N145" i="3"/>
  <c r="O145" i="3" s="1"/>
  <c r="N146" i="3"/>
  <c r="O146" i="3" s="1"/>
  <c r="N147" i="3"/>
  <c r="O147" i="3" s="1"/>
  <c r="N148" i="3"/>
  <c r="O148" i="3" s="1"/>
  <c r="N149" i="3"/>
  <c r="O149" i="3" s="1"/>
  <c r="N150" i="3"/>
  <c r="O150" i="3" s="1"/>
  <c r="N151" i="3"/>
  <c r="O151" i="3" s="1"/>
  <c r="N152" i="3"/>
  <c r="O152" i="3" s="1"/>
  <c r="N153" i="3"/>
  <c r="O153" i="3" s="1"/>
  <c r="N154" i="3"/>
  <c r="O154" i="3" s="1"/>
  <c r="N155" i="3"/>
  <c r="O155" i="3" s="1"/>
  <c r="N156" i="3"/>
  <c r="O156" i="3" s="1"/>
  <c r="N157" i="3"/>
  <c r="O157" i="3" s="1"/>
  <c r="N158" i="3"/>
  <c r="O158" i="3" s="1"/>
  <c r="N159" i="3"/>
  <c r="O159" i="3" s="1"/>
  <c r="N160" i="3"/>
  <c r="O160" i="3" s="1"/>
  <c r="N161" i="3"/>
  <c r="O161" i="3" s="1"/>
  <c r="N162" i="3"/>
  <c r="O162" i="3" s="1"/>
  <c r="N163" i="3"/>
  <c r="O163" i="3" s="1"/>
  <c r="N164" i="3"/>
  <c r="O164" i="3" s="1"/>
  <c r="N165" i="3"/>
  <c r="O165" i="3" s="1"/>
  <c r="N166" i="3"/>
  <c r="O166" i="3" s="1"/>
  <c r="N167" i="3"/>
  <c r="O167" i="3" s="1"/>
  <c r="N168" i="3"/>
  <c r="O168" i="3" s="1"/>
  <c r="N169" i="3"/>
  <c r="O169" i="3" s="1"/>
  <c r="N170" i="3"/>
  <c r="O170" i="3" s="1"/>
  <c r="N171" i="3"/>
  <c r="O171" i="3" s="1"/>
  <c r="N172" i="3"/>
  <c r="O172" i="3" s="1"/>
  <c r="N173" i="3"/>
  <c r="O173" i="3" s="1"/>
  <c r="N174" i="3"/>
  <c r="O174" i="3" s="1"/>
  <c r="N175" i="3"/>
  <c r="O175" i="3" s="1"/>
  <c r="N176" i="3"/>
  <c r="O176" i="3" s="1"/>
  <c r="N177" i="3"/>
  <c r="O177" i="3" s="1"/>
  <c r="N178" i="3"/>
  <c r="O178" i="3" s="1"/>
  <c r="N179" i="3"/>
  <c r="O179" i="3" s="1"/>
  <c r="N180" i="3"/>
  <c r="O180" i="3" s="1"/>
  <c r="N181" i="3"/>
  <c r="O181" i="3" s="1"/>
  <c r="N182" i="3"/>
  <c r="O182" i="3" s="1"/>
  <c r="N183" i="3"/>
  <c r="O183" i="3" s="1"/>
  <c r="N184" i="3"/>
  <c r="O184" i="3" s="1"/>
  <c r="N185" i="3"/>
  <c r="O185" i="3" s="1"/>
  <c r="N186" i="3"/>
  <c r="O186" i="3" s="1"/>
  <c r="N187" i="3"/>
  <c r="O187" i="3" s="1"/>
  <c r="N188" i="3"/>
  <c r="O188" i="3" s="1"/>
  <c r="N189" i="3"/>
  <c r="O189" i="3" s="1"/>
  <c r="N190" i="3"/>
  <c r="O190" i="3" s="1"/>
  <c r="N191" i="3"/>
  <c r="O191" i="3" s="1"/>
  <c r="N192" i="3"/>
  <c r="O192" i="3" s="1"/>
  <c r="N193" i="3"/>
  <c r="O193" i="3" s="1"/>
  <c r="N194" i="3"/>
  <c r="O194" i="3" s="1"/>
  <c r="N195" i="3"/>
  <c r="O195" i="3" s="1"/>
  <c r="N196" i="3"/>
  <c r="O196" i="3" s="1"/>
  <c r="N197" i="3"/>
  <c r="O197" i="3" s="1"/>
  <c r="N198" i="3"/>
  <c r="O198" i="3" s="1"/>
  <c r="N199" i="3"/>
  <c r="O199" i="3" s="1"/>
  <c r="N200" i="3"/>
  <c r="O200" i="3" s="1"/>
  <c r="N201" i="3"/>
  <c r="O201" i="3" s="1"/>
  <c r="N202" i="3"/>
  <c r="O202" i="3" s="1"/>
  <c r="N203" i="3"/>
  <c r="O203" i="3" s="1"/>
  <c r="N204" i="3"/>
  <c r="O204" i="3" s="1"/>
  <c r="N205" i="3"/>
  <c r="O205" i="3" s="1"/>
  <c r="N206" i="3"/>
  <c r="O206" i="3" s="1"/>
  <c r="N207" i="3"/>
  <c r="O207" i="3" s="1"/>
  <c r="N208" i="3"/>
  <c r="O208" i="3" s="1"/>
  <c r="N209" i="3"/>
  <c r="O209" i="3" s="1"/>
  <c r="N210" i="3"/>
  <c r="O210" i="3" s="1"/>
  <c r="N211" i="3"/>
  <c r="O211" i="3" s="1"/>
  <c r="N212" i="3"/>
  <c r="O212" i="3" s="1"/>
  <c r="N213" i="3"/>
  <c r="O213" i="3" s="1"/>
  <c r="G85" i="3"/>
  <c r="H85" i="3" s="1"/>
  <c r="G86" i="3"/>
  <c r="H86" i="3" s="1"/>
  <c r="G87" i="3"/>
  <c r="H87" i="3" s="1"/>
  <c r="G88" i="3"/>
  <c r="H88" i="3" s="1"/>
  <c r="G89" i="3"/>
  <c r="H89" i="3" s="1"/>
  <c r="G90" i="3"/>
  <c r="H90" i="3" s="1"/>
  <c r="G91" i="3"/>
  <c r="H91" i="3" s="1"/>
  <c r="G92" i="3"/>
  <c r="H92" i="3" s="1"/>
  <c r="G93" i="3"/>
  <c r="H93" i="3" s="1"/>
  <c r="G94" i="3"/>
  <c r="H94" i="3" s="1"/>
  <c r="G95" i="3"/>
  <c r="H95" i="3" s="1"/>
  <c r="G96" i="3"/>
  <c r="H96" i="3" s="1"/>
  <c r="G97" i="3"/>
  <c r="H97" i="3" s="1"/>
  <c r="G98" i="3"/>
  <c r="H98" i="3" s="1"/>
  <c r="G99" i="3"/>
  <c r="H99" i="3" s="1"/>
  <c r="G100" i="3"/>
  <c r="H100" i="3" s="1"/>
  <c r="G101" i="3"/>
  <c r="H101" i="3" s="1"/>
  <c r="G102" i="3"/>
  <c r="H102" i="3" s="1"/>
  <c r="G103" i="3"/>
  <c r="H103" i="3" s="1"/>
  <c r="G104" i="3"/>
  <c r="H104" i="3" s="1"/>
  <c r="G105" i="3"/>
  <c r="H105" i="3" s="1"/>
  <c r="G106" i="3"/>
  <c r="H106" i="3" s="1"/>
  <c r="G107" i="3"/>
  <c r="H107" i="3" s="1"/>
  <c r="G108" i="3"/>
  <c r="H108" i="3" s="1"/>
  <c r="G109" i="3"/>
  <c r="H109" i="3" s="1"/>
  <c r="G110" i="3"/>
  <c r="H110" i="3" s="1"/>
  <c r="G111" i="3"/>
  <c r="H111" i="3" s="1"/>
  <c r="G112" i="3"/>
  <c r="H112" i="3" s="1"/>
  <c r="G113" i="3"/>
  <c r="H113" i="3" s="1"/>
  <c r="G114" i="3"/>
  <c r="H114" i="3" s="1"/>
  <c r="G115" i="3"/>
  <c r="H115" i="3" s="1"/>
  <c r="G116" i="3"/>
  <c r="H116" i="3" s="1"/>
  <c r="G117" i="3"/>
  <c r="H117" i="3" s="1"/>
  <c r="G118" i="3"/>
  <c r="H118" i="3" s="1"/>
  <c r="G119" i="3"/>
  <c r="H119" i="3" s="1"/>
  <c r="G120" i="3"/>
  <c r="H120" i="3" s="1"/>
  <c r="G121" i="3"/>
  <c r="H121" i="3" s="1"/>
  <c r="G122" i="3"/>
  <c r="H122" i="3" s="1"/>
  <c r="G123" i="3"/>
  <c r="H123" i="3" s="1"/>
  <c r="G124" i="3"/>
  <c r="H124" i="3" s="1"/>
  <c r="G125" i="3"/>
  <c r="H125" i="3" s="1"/>
  <c r="G126" i="3"/>
  <c r="H126" i="3" s="1"/>
  <c r="G127" i="3"/>
  <c r="H127" i="3" s="1"/>
  <c r="G128" i="3"/>
  <c r="H128" i="3" s="1"/>
  <c r="G129" i="3"/>
  <c r="H129" i="3" s="1"/>
  <c r="G130" i="3"/>
  <c r="H130" i="3" s="1"/>
  <c r="G131" i="3"/>
  <c r="H131" i="3" s="1"/>
  <c r="G132" i="3"/>
  <c r="H132" i="3" s="1"/>
  <c r="G133" i="3"/>
  <c r="H133" i="3" s="1"/>
  <c r="G134" i="3"/>
  <c r="H134" i="3" s="1"/>
  <c r="G135" i="3"/>
  <c r="H135" i="3" s="1"/>
  <c r="G136" i="3"/>
  <c r="H136" i="3" s="1"/>
  <c r="G137" i="3"/>
  <c r="H137" i="3" s="1"/>
  <c r="G138" i="3"/>
  <c r="H138" i="3" s="1"/>
  <c r="G139" i="3"/>
  <c r="H139" i="3" s="1"/>
  <c r="G140" i="3"/>
  <c r="H140" i="3" s="1"/>
  <c r="G141" i="3"/>
  <c r="H141" i="3" s="1"/>
  <c r="G142" i="3"/>
  <c r="H142" i="3" s="1"/>
  <c r="G143" i="3"/>
  <c r="H143" i="3" s="1"/>
  <c r="G144" i="3"/>
  <c r="H144" i="3" s="1"/>
  <c r="G145" i="3"/>
  <c r="H145" i="3" s="1"/>
  <c r="G146" i="3"/>
  <c r="H146" i="3" s="1"/>
  <c r="G147" i="3"/>
  <c r="H147" i="3" s="1"/>
  <c r="G148" i="3"/>
  <c r="H148" i="3" s="1"/>
  <c r="G149" i="3"/>
  <c r="H149" i="3" s="1"/>
  <c r="G150" i="3"/>
  <c r="H150" i="3" s="1"/>
  <c r="G151" i="3"/>
  <c r="H151" i="3" s="1"/>
  <c r="G152" i="3"/>
  <c r="H152" i="3" s="1"/>
  <c r="G153" i="3"/>
  <c r="H153" i="3" s="1"/>
  <c r="G154" i="3"/>
  <c r="H154" i="3" s="1"/>
  <c r="G155" i="3"/>
  <c r="H155" i="3" s="1"/>
  <c r="G156" i="3"/>
  <c r="H156" i="3" s="1"/>
  <c r="G157" i="3"/>
  <c r="H157" i="3" s="1"/>
  <c r="G158" i="3"/>
  <c r="H158" i="3" s="1"/>
  <c r="G159" i="3"/>
  <c r="H159" i="3" s="1"/>
  <c r="G160" i="3"/>
  <c r="H160" i="3" s="1"/>
  <c r="G161" i="3"/>
  <c r="H161" i="3" s="1"/>
  <c r="G162" i="3"/>
  <c r="H162" i="3" s="1"/>
  <c r="G163" i="3"/>
  <c r="H163" i="3" s="1"/>
  <c r="G164" i="3"/>
  <c r="H164" i="3" s="1"/>
  <c r="G165" i="3"/>
  <c r="H165" i="3" s="1"/>
  <c r="G166" i="3"/>
  <c r="H166" i="3" s="1"/>
  <c r="G167" i="3"/>
  <c r="H167" i="3" s="1"/>
  <c r="G168" i="3"/>
  <c r="H168" i="3" s="1"/>
  <c r="G169" i="3"/>
  <c r="H169" i="3" s="1"/>
  <c r="G170" i="3"/>
  <c r="H170" i="3" s="1"/>
  <c r="G171" i="3"/>
  <c r="H171" i="3" s="1"/>
  <c r="G172" i="3"/>
  <c r="H172" i="3" s="1"/>
  <c r="G173" i="3"/>
  <c r="H173" i="3" s="1"/>
  <c r="G174" i="3"/>
  <c r="H174" i="3" s="1"/>
  <c r="G175" i="3"/>
  <c r="H175" i="3" s="1"/>
  <c r="G176" i="3"/>
  <c r="H176" i="3" s="1"/>
  <c r="G177" i="3"/>
  <c r="H177" i="3" s="1"/>
  <c r="G178" i="3"/>
  <c r="H178" i="3" s="1"/>
  <c r="G179" i="3"/>
  <c r="H179" i="3" s="1"/>
  <c r="G180" i="3"/>
  <c r="H180" i="3" s="1"/>
  <c r="G181" i="3"/>
  <c r="H181" i="3" s="1"/>
  <c r="G182" i="3"/>
  <c r="H182" i="3" s="1"/>
  <c r="G183" i="3"/>
  <c r="H183" i="3" s="1"/>
  <c r="G184" i="3"/>
  <c r="H184" i="3" s="1"/>
  <c r="G185" i="3"/>
  <c r="H185" i="3" s="1"/>
  <c r="G186" i="3"/>
  <c r="H186" i="3" s="1"/>
  <c r="G187" i="3"/>
  <c r="H187" i="3" s="1"/>
  <c r="G188" i="3"/>
  <c r="H188" i="3" s="1"/>
  <c r="G189" i="3"/>
  <c r="H189" i="3" s="1"/>
  <c r="G190" i="3"/>
  <c r="H190" i="3" s="1"/>
  <c r="G191" i="3"/>
  <c r="H191" i="3" s="1"/>
  <c r="G192" i="3"/>
  <c r="H192" i="3" s="1"/>
  <c r="G193" i="3"/>
  <c r="H193" i="3" s="1"/>
  <c r="G194" i="3"/>
  <c r="H194" i="3" s="1"/>
  <c r="G195" i="3"/>
  <c r="H195" i="3" s="1"/>
  <c r="G196" i="3"/>
  <c r="H196" i="3" s="1"/>
  <c r="G197" i="3"/>
  <c r="H197" i="3" s="1"/>
  <c r="G198" i="3"/>
  <c r="H198" i="3" s="1"/>
  <c r="G199" i="3"/>
  <c r="H199" i="3" s="1"/>
  <c r="G200" i="3"/>
  <c r="H200" i="3" s="1"/>
  <c r="G201" i="3"/>
  <c r="H201" i="3" s="1"/>
  <c r="G202" i="3"/>
  <c r="H202" i="3" s="1"/>
  <c r="G203" i="3"/>
  <c r="H203" i="3" s="1"/>
  <c r="G204" i="3"/>
  <c r="H204" i="3" s="1"/>
  <c r="G205" i="3"/>
  <c r="H205" i="3" s="1"/>
  <c r="G206" i="3"/>
  <c r="H206" i="3" s="1"/>
  <c r="G207" i="3"/>
  <c r="H207" i="3" s="1"/>
  <c r="G208" i="3"/>
  <c r="H208" i="3" s="1"/>
  <c r="G209" i="3"/>
  <c r="H209" i="3" s="1"/>
  <c r="G210" i="3"/>
  <c r="H210" i="3" s="1"/>
  <c r="G211" i="3"/>
  <c r="H211" i="3" s="1"/>
  <c r="G212" i="3"/>
  <c r="H212" i="3" s="1"/>
  <c r="G213" i="3"/>
  <c r="H213" i="3" s="1"/>
  <c r="AC84" i="3"/>
  <c r="AI85" i="3"/>
  <c r="AJ85" i="3" s="1"/>
  <c r="AP85" i="3"/>
  <c r="AQ85" i="3"/>
  <c r="AR85" i="3" s="1"/>
  <c r="AS85" i="3" s="1"/>
  <c r="AT85" i="3" s="1"/>
  <c r="AW85" i="3"/>
  <c r="AX85" i="3" s="1"/>
  <c r="BD85" i="3"/>
  <c r="BE85" i="3" s="1"/>
  <c r="BF85" i="3" s="1"/>
  <c r="BG85" i="3" s="1"/>
  <c r="BH85" i="3" s="1"/>
  <c r="BI85" i="3" s="1"/>
  <c r="BK85" i="3"/>
  <c r="BL85" i="3" s="1"/>
  <c r="AI86" i="3"/>
  <c r="AJ86" i="3" s="1"/>
  <c r="AK86" i="3" s="1"/>
  <c r="AL86" i="3" s="1"/>
  <c r="AM86" i="3" s="1"/>
  <c r="AP86" i="3"/>
  <c r="AQ86" i="3" s="1"/>
  <c r="AW86" i="3"/>
  <c r="AX86" i="3" s="1"/>
  <c r="AY86" i="3" s="1"/>
  <c r="AZ86" i="3" s="1"/>
  <c r="BA86" i="3" s="1"/>
  <c r="BD86" i="3"/>
  <c r="BE86" i="3" s="1"/>
  <c r="BK86" i="3"/>
  <c r="BL86" i="3" s="1"/>
  <c r="BM86" i="3" s="1"/>
  <c r="BN86" i="3" s="1"/>
  <c r="BO86" i="3" s="1"/>
  <c r="AI87" i="3"/>
  <c r="AJ87" i="3" s="1"/>
  <c r="AP87" i="3"/>
  <c r="AQ87" i="3" s="1"/>
  <c r="AR87" i="3" s="1"/>
  <c r="AS87" i="3" s="1"/>
  <c r="AT87" i="3" s="1"/>
  <c r="AW87" i="3"/>
  <c r="AX87" i="3" s="1"/>
  <c r="BD87" i="3"/>
  <c r="BE87" i="3" s="1"/>
  <c r="BF87" i="3" s="1"/>
  <c r="BG87" i="3" s="1"/>
  <c r="BH87" i="3" s="1"/>
  <c r="BK87" i="3"/>
  <c r="BL87" i="3" s="1"/>
  <c r="AI88" i="3"/>
  <c r="AJ88" i="3" s="1"/>
  <c r="AK88" i="3" s="1"/>
  <c r="AL88" i="3" s="1"/>
  <c r="AM88" i="3" s="1"/>
  <c r="AP88" i="3"/>
  <c r="AQ88" i="3" s="1"/>
  <c r="AW88" i="3"/>
  <c r="AX88" i="3" s="1"/>
  <c r="AY88" i="3" s="1"/>
  <c r="AZ88" i="3" s="1"/>
  <c r="BA88" i="3" s="1"/>
  <c r="BD88" i="3"/>
  <c r="BE88" i="3" s="1"/>
  <c r="BK88" i="3"/>
  <c r="BL88" i="3"/>
  <c r="BM88" i="3" s="1"/>
  <c r="BN88" i="3" s="1"/>
  <c r="BO88" i="3" s="1"/>
  <c r="AI89" i="3"/>
  <c r="AJ89" i="3" s="1"/>
  <c r="AP89" i="3"/>
  <c r="AQ89" i="3" s="1"/>
  <c r="AR89" i="3" s="1"/>
  <c r="AS89" i="3" s="1"/>
  <c r="AT89" i="3" s="1"/>
  <c r="AW89" i="3"/>
  <c r="AX89" i="3" s="1"/>
  <c r="BD89" i="3"/>
  <c r="BE89" i="3"/>
  <c r="BF89" i="3" s="1"/>
  <c r="BG89" i="3" s="1"/>
  <c r="BH89" i="3" s="1"/>
  <c r="BK89" i="3"/>
  <c r="BL89" i="3" s="1"/>
  <c r="AI90" i="3"/>
  <c r="AJ90" i="3" s="1"/>
  <c r="AK90" i="3" s="1"/>
  <c r="AL90" i="3" s="1"/>
  <c r="AM90" i="3" s="1"/>
  <c r="AP90" i="3"/>
  <c r="AQ90" i="3" s="1"/>
  <c r="AW90" i="3"/>
  <c r="AX90" i="3" s="1"/>
  <c r="AY90" i="3" s="1"/>
  <c r="AZ90" i="3" s="1"/>
  <c r="BA90" i="3" s="1"/>
  <c r="BD90" i="3"/>
  <c r="BE90" i="3" s="1"/>
  <c r="BK90" i="3"/>
  <c r="BL90" i="3" s="1"/>
  <c r="BM90" i="3" s="1"/>
  <c r="BN90" i="3" s="1"/>
  <c r="BO90" i="3" s="1"/>
  <c r="AI91" i="3"/>
  <c r="AJ91" i="3" s="1"/>
  <c r="AP91" i="3"/>
  <c r="AQ91" i="3"/>
  <c r="AR91" i="3" s="1"/>
  <c r="AS91" i="3" s="1"/>
  <c r="AT91" i="3" s="1"/>
  <c r="AW91" i="3"/>
  <c r="AX91" i="3" s="1"/>
  <c r="BD91" i="3"/>
  <c r="BE91" i="3"/>
  <c r="BF91" i="3" s="1"/>
  <c r="BG91" i="3" s="1"/>
  <c r="BH91" i="3" s="1"/>
  <c r="BK91" i="3"/>
  <c r="BL91" i="3" s="1"/>
  <c r="AI92" i="3"/>
  <c r="AJ92" i="3"/>
  <c r="AK92" i="3" s="1"/>
  <c r="AL92" i="3" s="1"/>
  <c r="AM92" i="3" s="1"/>
  <c r="AP92" i="3"/>
  <c r="AQ92" i="3" s="1"/>
  <c r="AW92" i="3"/>
  <c r="AX92" i="3" s="1"/>
  <c r="AY92" i="3" s="1"/>
  <c r="AZ92" i="3" s="1"/>
  <c r="BA92" i="3" s="1"/>
  <c r="BD92" i="3"/>
  <c r="BE92" i="3" s="1"/>
  <c r="BK92" i="3"/>
  <c r="BL92" i="3" s="1"/>
  <c r="BM92" i="3" s="1"/>
  <c r="BN92" i="3" s="1"/>
  <c r="BO92" i="3" s="1"/>
  <c r="AI93" i="3"/>
  <c r="AJ93" i="3" s="1"/>
  <c r="AP93" i="3"/>
  <c r="AQ93" i="3"/>
  <c r="AR93" i="3" s="1"/>
  <c r="AS93" i="3" s="1"/>
  <c r="AT93" i="3" s="1"/>
  <c r="AW93" i="3"/>
  <c r="AX93" i="3" s="1"/>
  <c r="BD93" i="3"/>
  <c r="BE93" i="3" s="1"/>
  <c r="BF93" i="3" s="1"/>
  <c r="BG93" i="3" s="1"/>
  <c r="BH93" i="3" s="1"/>
  <c r="BK93" i="3"/>
  <c r="BL93" i="3" s="1"/>
  <c r="AI94" i="3"/>
  <c r="AJ94" i="3"/>
  <c r="AK94" i="3" s="1"/>
  <c r="AL94" i="3" s="1"/>
  <c r="AM94" i="3" s="1"/>
  <c r="AP94" i="3"/>
  <c r="AQ94" i="3" s="1"/>
  <c r="AW94" i="3"/>
  <c r="AX94" i="3" s="1"/>
  <c r="AY94" i="3" s="1"/>
  <c r="AZ94" i="3" s="1"/>
  <c r="BA94" i="3" s="1"/>
  <c r="BD94" i="3"/>
  <c r="BE94" i="3" s="1"/>
  <c r="BK94" i="3"/>
  <c r="BL94" i="3" s="1"/>
  <c r="BM94" i="3" s="1"/>
  <c r="BN94" i="3" s="1"/>
  <c r="BO94" i="3" s="1"/>
  <c r="AI95" i="3"/>
  <c r="AJ95" i="3" s="1"/>
  <c r="AP95" i="3"/>
  <c r="AQ95" i="3" s="1"/>
  <c r="AR95" i="3" s="1"/>
  <c r="AS95" i="3" s="1"/>
  <c r="AT95" i="3" s="1"/>
  <c r="AW95" i="3"/>
  <c r="AX95" i="3" s="1"/>
  <c r="BD95" i="3"/>
  <c r="BE95" i="3" s="1"/>
  <c r="BF95" i="3" s="1"/>
  <c r="BG95" i="3" s="1"/>
  <c r="BH95" i="3" s="1"/>
  <c r="BK95" i="3"/>
  <c r="BL95" i="3" s="1"/>
  <c r="AI96" i="3"/>
  <c r="AJ96" i="3" s="1"/>
  <c r="AK96" i="3" s="1"/>
  <c r="AL96" i="3" s="1"/>
  <c r="AM96" i="3" s="1"/>
  <c r="AP96" i="3"/>
  <c r="AQ96" i="3" s="1"/>
  <c r="AW96" i="3"/>
  <c r="AX96" i="3" s="1"/>
  <c r="AY96" i="3" s="1"/>
  <c r="AZ96" i="3" s="1"/>
  <c r="BA96" i="3" s="1"/>
  <c r="BD96" i="3"/>
  <c r="BE96" i="3" s="1"/>
  <c r="BK96" i="3"/>
  <c r="BL96" i="3"/>
  <c r="BM96" i="3" s="1"/>
  <c r="BN96" i="3" s="1"/>
  <c r="BO96" i="3" s="1"/>
  <c r="AI97" i="3"/>
  <c r="AJ97" i="3" s="1"/>
  <c r="AP97" i="3"/>
  <c r="AQ97" i="3" s="1"/>
  <c r="AR97" i="3" s="1"/>
  <c r="AS97" i="3" s="1"/>
  <c r="AT97" i="3" s="1"/>
  <c r="AW97" i="3"/>
  <c r="AX97" i="3" s="1"/>
  <c r="BD97" i="3"/>
  <c r="BE97" i="3" s="1"/>
  <c r="BF97" i="3" s="1"/>
  <c r="BG97" i="3" s="1"/>
  <c r="BH97" i="3" s="1"/>
  <c r="BK97" i="3"/>
  <c r="BL97" i="3" s="1"/>
  <c r="AI98" i="3"/>
  <c r="AJ98" i="3" s="1"/>
  <c r="AK98" i="3" s="1"/>
  <c r="AL98" i="3" s="1"/>
  <c r="AM98" i="3" s="1"/>
  <c r="AP98" i="3"/>
  <c r="AQ98" i="3" s="1"/>
  <c r="AW98" i="3"/>
  <c r="AX98" i="3" s="1"/>
  <c r="AY98" i="3" s="1"/>
  <c r="AZ98" i="3" s="1"/>
  <c r="BA98" i="3" s="1"/>
  <c r="BD98" i="3"/>
  <c r="BE98" i="3" s="1"/>
  <c r="BK98" i="3"/>
  <c r="BL98" i="3" s="1"/>
  <c r="BM98" i="3" s="1"/>
  <c r="BN98" i="3" s="1"/>
  <c r="BO98" i="3" s="1"/>
  <c r="AI99" i="3"/>
  <c r="AJ99" i="3" s="1"/>
  <c r="AP99" i="3"/>
  <c r="AQ99" i="3" s="1"/>
  <c r="AR99" i="3" s="1"/>
  <c r="AS99" i="3" s="1"/>
  <c r="AT99" i="3" s="1"/>
  <c r="AW99" i="3"/>
  <c r="AX99" i="3" s="1"/>
  <c r="BD99" i="3"/>
  <c r="BE99" i="3" s="1"/>
  <c r="BF99" i="3" s="1"/>
  <c r="BG99" i="3" s="1"/>
  <c r="BH99" i="3" s="1"/>
  <c r="BK99" i="3"/>
  <c r="BL99" i="3" s="1"/>
  <c r="AI100" i="3"/>
  <c r="AJ100" i="3"/>
  <c r="AK100" i="3" s="1"/>
  <c r="AL100" i="3" s="1"/>
  <c r="AM100" i="3" s="1"/>
  <c r="AP100" i="3"/>
  <c r="AQ100" i="3" s="1"/>
  <c r="AW100" i="3"/>
  <c r="AX100" i="3" s="1"/>
  <c r="AY100" i="3" s="1"/>
  <c r="AZ100" i="3" s="1"/>
  <c r="BA100" i="3" s="1"/>
  <c r="BD100" i="3"/>
  <c r="BE100" i="3" s="1"/>
  <c r="BK100" i="3"/>
  <c r="BL100" i="3"/>
  <c r="AI101" i="3"/>
  <c r="AJ101" i="3" s="1"/>
  <c r="AP101" i="3"/>
  <c r="AQ101" i="3" s="1"/>
  <c r="AW101" i="3"/>
  <c r="AX101" i="3" s="1"/>
  <c r="BD101" i="3"/>
  <c r="BE101" i="3" s="1"/>
  <c r="BK101" i="3"/>
  <c r="BL101" i="3" s="1"/>
  <c r="AI102" i="3"/>
  <c r="AJ102" i="3"/>
  <c r="AK102" i="3" s="1"/>
  <c r="AL102" i="3" s="1"/>
  <c r="AP102" i="3"/>
  <c r="AQ102" i="3" s="1"/>
  <c r="AW102" i="3"/>
  <c r="AX102" i="3" s="1"/>
  <c r="AY102" i="3" s="1"/>
  <c r="AZ102" i="3" s="1"/>
  <c r="BA102" i="3" s="1"/>
  <c r="BB102" i="3" s="1"/>
  <c r="BD102" i="3"/>
  <c r="BE102" i="3" s="1"/>
  <c r="BK102" i="3"/>
  <c r="BL102" i="3" s="1"/>
  <c r="BM102" i="3" s="1"/>
  <c r="BN102" i="3" s="1"/>
  <c r="BO102" i="3" s="1"/>
  <c r="BP102" i="3" s="1"/>
  <c r="AI103" i="3"/>
  <c r="AJ103" i="3" s="1"/>
  <c r="AP103" i="3"/>
  <c r="AQ103" i="3" s="1"/>
  <c r="AW103" i="3"/>
  <c r="AX103" i="3" s="1"/>
  <c r="BD103" i="3"/>
  <c r="BE103" i="3" s="1"/>
  <c r="BF103" i="3" s="1"/>
  <c r="BG103" i="3" s="1"/>
  <c r="BK103" i="3"/>
  <c r="BL103" i="3" s="1"/>
  <c r="AI104" i="3"/>
  <c r="AJ104" i="3" s="1"/>
  <c r="AK104" i="3" s="1"/>
  <c r="AL104" i="3" s="1"/>
  <c r="AM104" i="3" s="1"/>
  <c r="AP104" i="3"/>
  <c r="AQ104" i="3" s="1"/>
  <c r="AW104" i="3"/>
  <c r="AX104" i="3" s="1"/>
  <c r="AY104" i="3" s="1"/>
  <c r="AZ104" i="3" s="1"/>
  <c r="BA104" i="3" s="1"/>
  <c r="BD104" i="3"/>
  <c r="BE104" i="3" s="1"/>
  <c r="BK104" i="3"/>
  <c r="BL104" i="3" s="1"/>
  <c r="AI105" i="3"/>
  <c r="AJ105" i="3" s="1"/>
  <c r="AP105" i="3"/>
  <c r="AQ105" i="3"/>
  <c r="AR105" i="3" s="1"/>
  <c r="AS105" i="3" s="1"/>
  <c r="AW105" i="3"/>
  <c r="AX105" i="3" s="1"/>
  <c r="BD105" i="3"/>
  <c r="BE105" i="3" s="1"/>
  <c r="BF105" i="3" s="1"/>
  <c r="BG105" i="3" s="1"/>
  <c r="BK105" i="3"/>
  <c r="BL105" i="3" s="1"/>
  <c r="AI106" i="3"/>
  <c r="AJ106" i="3"/>
  <c r="AK106" i="3" s="1"/>
  <c r="AL106" i="3" s="1"/>
  <c r="AM106" i="3" s="1"/>
  <c r="AP106" i="3"/>
  <c r="AQ106" i="3" s="1"/>
  <c r="AW106" i="3"/>
  <c r="AX106" i="3" s="1"/>
  <c r="BD106" i="3"/>
  <c r="BE106" i="3" s="1"/>
  <c r="BK106" i="3"/>
  <c r="BL106" i="3" s="1"/>
  <c r="AI107" i="3"/>
  <c r="AJ107" i="3" s="1"/>
  <c r="AK107" i="3" s="1"/>
  <c r="AL107" i="3" s="1"/>
  <c r="AP107" i="3"/>
  <c r="AQ107" i="3" s="1"/>
  <c r="AR107" i="3" s="1"/>
  <c r="AS107" i="3" s="1"/>
  <c r="AW107" i="3"/>
  <c r="AX107" i="3" s="1"/>
  <c r="AY107" i="3" s="1"/>
  <c r="AZ107" i="3" s="1"/>
  <c r="BD107" i="3"/>
  <c r="BE107" i="3" s="1"/>
  <c r="BF107" i="3" s="1"/>
  <c r="BG107" i="3" s="1"/>
  <c r="BK107" i="3"/>
  <c r="BL107" i="3" s="1"/>
  <c r="BM107" i="3" s="1"/>
  <c r="BN107" i="3" s="1"/>
  <c r="AI108" i="3"/>
  <c r="AJ108" i="3" s="1"/>
  <c r="AK108" i="3" s="1"/>
  <c r="AL108" i="3" s="1"/>
  <c r="AP108" i="3"/>
  <c r="AQ108" i="3" s="1"/>
  <c r="AR108" i="3" s="1"/>
  <c r="AS108" i="3" s="1"/>
  <c r="AW108" i="3"/>
  <c r="AX108" i="3" s="1"/>
  <c r="AY108" i="3" s="1"/>
  <c r="AZ108" i="3" s="1"/>
  <c r="BA108" i="3" s="1"/>
  <c r="BD108" i="3"/>
  <c r="BE108" i="3" s="1"/>
  <c r="BF108" i="3" s="1"/>
  <c r="BG108" i="3" s="1"/>
  <c r="BK108" i="3"/>
  <c r="BL108" i="3" s="1"/>
  <c r="BM108" i="3" s="1"/>
  <c r="BN108" i="3" s="1"/>
  <c r="BO108" i="3" s="1"/>
  <c r="AI109" i="3"/>
  <c r="AJ109" i="3" s="1"/>
  <c r="AK109" i="3" s="1"/>
  <c r="AL109" i="3" s="1"/>
  <c r="AP109" i="3"/>
  <c r="AQ109" i="3" s="1"/>
  <c r="AR109" i="3" s="1"/>
  <c r="AS109" i="3" s="1"/>
  <c r="AW109" i="3"/>
  <c r="AX109" i="3" s="1"/>
  <c r="AY109" i="3" s="1"/>
  <c r="AZ109" i="3" s="1"/>
  <c r="BD109" i="3"/>
  <c r="BE109" i="3" s="1"/>
  <c r="BF109" i="3" s="1"/>
  <c r="BG109" i="3" s="1"/>
  <c r="BK109" i="3"/>
  <c r="BL109" i="3" s="1"/>
  <c r="BM109" i="3" s="1"/>
  <c r="BN109" i="3" s="1"/>
  <c r="AI110" i="3"/>
  <c r="AJ110" i="3" s="1"/>
  <c r="AK110" i="3" s="1"/>
  <c r="AL110" i="3" s="1"/>
  <c r="AP110" i="3"/>
  <c r="AQ110" i="3" s="1"/>
  <c r="AR110" i="3" s="1"/>
  <c r="AS110" i="3" s="1"/>
  <c r="AW110" i="3"/>
  <c r="AX110" i="3" s="1"/>
  <c r="AY110" i="3" s="1"/>
  <c r="AZ110" i="3" s="1"/>
  <c r="BD110" i="3"/>
  <c r="BE110" i="3" s="1"/>
  <c r="BF110" i="3" s="1"/>
  <c r="BG110" i="3" s="1"/>
  <c r="BK110" i="3"/>
  <c r="BL110" i="3" s="1"/>
  <c r="BM110" i="3" s="1"/>
  <c r="BN110" i="3" s="1"/>
  <c r="AI111" i="3"/>
  <c r="AJ111" i="3" s="1"/>
  <c r="AK111" i="3" s="1"/>
  <c r="AL111" i="3" s="1"/>
  <c r="AP111" i="3"/>
  <c r="AQ111" i="3" s="1"/>
  <c r="AR111" i="3" s="1"/>
  <c r="AS111" i="3" s="1"/>
  <c r="AW111" i="3"/>
  <c r="AX111" i="3" s="1"/>
  <c r="AY111" i="3" s="1"/>
  <c r="AZ111" i="3" s="1"/>
  <c r="BD111" i="3"/>
  <c r="BE111" i="3" s="1"/>
  <c r="BF111" i="3" s="1"/>
  <c r="BG111" i="3" s="1"/>
  <c r="BK111" i="3"/>
  <c r="BL111" i="3" s="1"/>
  <c r="BM111" i="3" s="1"/>
  <c r="BN111" i="3" s="1"/>
  <c r="AI112" i="3"/>
  <c r="AJ112" i="3" s="1"/>
  <c r="AK112" i="3" s="1"/>
  <c r="AL112" i="3" s="1"/>
  <c r="AP112" i="3"/>
  <c r="AQ112" i="3" s="1"/>
  <c r="AR112" i="3" s="1"/>
  <c r="AS112" i="3" s="1"/>
  <c r="AW112" i="3"/>
  <c r="AX112" i="3" s="1"/>
  <c r="AY112" i="3" s="1"/>
  <c r="AZ112" i="3" s="1"/>
  <c r="BD112" i="3"/>
  <c r="BE112" i="3" s="1"/>
  <c r="BF112" i="3" s="1"/>
  <c r="BG112" i="3" s="1"/>
  <c r="BH112" i="3" s="1"/>
  <c r="BK112" i="3"/>
  <c r="BL112" i="3" s="1"/>
  <c r="AI113" i="3"/>
  <c r="AJ113" i="3" s="1"/>
  <c r="AK113" i="3" s="1"/>
  <c r="AL113" i="3" s="1"/>
  <c r="AP113" i="3"/>
  <c r="AQ113" i="3" s="1"/>
  <c r="AR113" i="3" s="1"/>
  <c r="AS113" i="3" s="1"/>
  <c r="AW113" i="3"/>
  <c r="AX113" i="3" s="1"/>
  <c r="BD113" i="3"/>
  <c r="BE113" i="3" s="1"/>
  <c r="BK113" i="3"/>
  <c r="BL113" i="3" s="1"/>
  <c r="BM113" i="3"/>
  <c r="BN113" i="3" s="1"/>
  <c r="AI114" i="3"/>
  <c r="AJ114" i="3" s="1"/>
  <c r="AP114" i="3"/>
  <c r="AQ114" i="3" s="1"/>
  <c r="AR114" i="3" s="1"/>
  <c r="AS114" i="3" s="1"/>
  <c r="AT114" i="3" s="1"/>
  <c r="AW114" i="3"/>
  <c r="AX114" i="3" s="1"/>
  <c r="BD114" i="3"/>
  <c r="BE114" i="3" s="1"/>
  <c r="BK114" i="3"/>
  <c r="BL114" i="3" s="1"/>
  <c r="AI115" i="3"/>
  <c r="AJ115" i="3" s="1"/>
  <c r="AK115" i="3" s="1"/>
  <c r="AL115" i="3" s="1"/>
  <c r="AP115" i="3"/>
  <c r="AQ115" i="3" s="1"/>
  <c r="AR115" i="3" s="1"/>
  <c r="AS115" i="3" s="1"/>
  <c r="AW115" i="3"/>
  <c r="AX115" i="3" s="1"/>
  <c r="AY115" i="3" s="1"/>
  <c r="AZ115" i="3" s="1"/>
  <c r="BD115" i="3"/>
  <c r="BE115" i="3"/>
  <c r="BK115" i="3"/>
  <c r="BL115" i="3" s="1"/>
  <c r="BM115" i="3" s="1"/>
  <c r="BN115" i="3" s="1"/>
  <c r="BO115" i="3"/>
  <c r="AI116" i="3"/>
  <c r="AJ116" i="3" s="1"/>
  <c r="AK116" i="3" s="1"/>
  <c r="AL116" i="3" s="1"/>
  <c r="AP116" i="3"/>
  <c r="AQ116" i="3" s="1"/>
  <c r="AW116" i="3"/>
  <c r="AX116" i="3" s="1"/>
  <c r="BD116" i="3"/>
  <c r="BE116" i="3" s="1"/>
  <c r="BK116" i="3"/>
  <c r="BL116" i="3" s="1"/>
  <c r="AI117" i="3"/>
  <c r="AJ117" i="3" s="1"/>
  <c r="AK117" i="3" s="1"/>
  <c r="AL117" i="3" s="1"/>
  <c r="AP117" i="3"/>
  <c r="AQ117" i="3"/>
  <c r="AW117" i="3"/>
  <c r="AX117" i="3" s="1"/>
  <c r="AY117" i="3" s="1"/>
  <c r="AZ117" i="3" s="1"/>
  <c r="BD117" i="3"/>
  <c r="BE117" i="3" s="1"/>
  <c r="BK117" i="3"/>
  <c r="BL117" i="3" s="1"/>
  <c r="BM117" i="3" s="1"/>
  <c r="BN117" i="3" s="1"/>
  <c r="AI118" i="3"/>
  <c r="AJ118" i="3" s="1"/>
  <c r="AP118" i="3"/>
  <c r="AQ118" i="3"/>
  <c r="AR118" i="3" s="1"/>
  <c r="AS118" i="3" s="1"/>
  <c r="AW118" i="3"/>
  <c r="AX118" i="3" s="1"/>
  <c r="BD118" i="3"/>
  <c r="BE118" i="3" s="1"/>
  <c r="BF118" i="3" s="1"/>
  <c r="BG118" i="3" s="1"/>
  <c r="BK118" i="3"/>
  <c r="BL118" i="3" s="1"/>
  <c r="AI119" i="3"/>
  <c r="AJ119" i="3" s="1"/>
  <c r="AK119" i="3" s="1"/>
  <c r="AL119" i="3" s="1"/>
  <c r="AM119" i="3" s="1"/>
  <c r="AP119" i="3"/>
  <c r="AQ119" i="3" s="1"/>
  <c r="AW119" i="3"/>
  <c r="AX119" i="3" s="1"/>
  <c r="AY119" i="3" s="1"/>
  <c r="AZ119" i="3" s="1"/>
  <c r="BA119" i="3" s="1"/>
  <c r="BD119" i="3"/>
  <c r="BE119" i="3" s="1"/>
  <c r="BK119" i="3"/>
  <c r="BL119" i="3" s="1"/>
  <c r="BM119" i="3" s="1"/>
  <c r="BN119" i="3" s="1"/>
  <c r="AI120" i="3"/>
  <c r="AJ120" i="3" s="1"/>
  <c r="AP120" i="3"/>
  <c r="AQ120" i="3"/>
  <c r="AR120" i="3" s="1"/>
  <c r="AS120" i="3" s="1"/>
  <c r="AT120" i="3" s="1"/>
  <c r="AW120" i="3"/>
  <c r="AX120" i="3" s="1"/>
  <c r="BD120" i="3"/>
  <c r="BE120" i="3" s="1"/>
  <c r="BF120" i="3" s="1"/>
  <c r="BG120" i="3" s="1"/>
  <c r="BH120" i="3" s="1"/>
  <c r="BK120" i="3"/>
  <c r="BL120" i="3" s="1"/>
  <c r="AI121" i="3"/>
  <c r="AJ121" i="3"/>
  <c r="AP121" i="3"/>
  <c r="AQ121" i="3" s="1"/>
  <c r="AW121" i="3"/>
  <c r="AX121" i="3"/>
  <c r="AY121" i="3" s="1"/>
  <c r="AZ121" i="3" s="1"/>
  <c r="BD121" i="3"/>
  <c r="BE121" i="3" s="1"/>
  <c r="BK121" i="3"/>
  <c r="BL121" i="3"/>
  <c r="BM121" i="3" s="1"/>
  <c r="BN121" i="3" s="1"/>
  <c r="AI122" i="3"/>
  <c r="AJ122" i="3" s="1"/>
  <c r="AK122" i="3" s="1"/>
  <c r="AL122" i="3" s="1"/>
  <c r="AP122" i="3"/>
  <c r="AQ122" i="3"/>
  <c r="AR122" i="3" s="1"/>
  <c r="AS122" i="3" s="1"/>
  <c r="AW122" i="3"/>
  <c r="AX122" i="3" s="1"/>
  <c r="AY122" i="3" s="1"/>
  <c r="AZ122" i="3" s="1"/>
  <c r="BD122" i="3"/>
  <c r="BE122" i="3" s="1"/>
  <c r="BK122" i="3"/>
  <c r="BL122" i="3" s="1"/>
  <c r="BM122" i="3" s="1"/>
  <c r="BN122" i="3" s="1"/>
  <c r="AI123" i="3"/>
  <c r="AJ123" i="3" s="1"/>
  <c r="AK123" i="3" s="1"/>
  <c r="AL123" i="3" s="1"/>
  <c r="AP123" i="3"/>
  <c r="AQ123" i="3" s="1"/>
  <c r="AW123" i="3"/>
  <c r="AX123" i="3" s="1"/>
  <c r="BD123" i="3"/>
  <c r="BE123" i="3" s="1"/>
  <c r="BF123" i="3" s="1"/>
  <c r="BG123" i="3" s="1"/>
  <c r="BK123" i="3"/>
  <c r="BL123" i="3"/>
  <c r="BM123" i="3" s="1"/>
  <c r="BN123" i="3" s="1"/>
  <c r="AI124" i="3"/>
  <c r="AJ124" i="3" s="1"/>
  <c r="AK124" i="3" s="1"/>
  <c r="AL124" i="3" s="1"/>
  <c r="AP124" i="3"/>
  <c r="AQ124" i="3" s="1"/>
  <c r="AW124" i="3"/>
  <c r="AX124" i="3" s="1"/>
  <c r="AY124" i="3" s="1"/>
  <c r="AZ124" i="3" s="1"/>
  <c r="BD124" i="3"/>
  <c r="BE124" i="3"/>
  <c r="BF124" i="3" s="1"/>
  <c r="BG124" i="3" s="1"/>
  <c r="BK124" i="3"/>
  <c r="BL124" i="3" s="1"/>
  <c r="AI125" i="3"/>
  <c r="AJ125" i="3" s="1"/>
  <c r="AP125" i="3"/>
  <c r="AQ125" i="3"/>
  <c r="AR125" i="3" s="1"/>
  <c r="AS125" i="3" s="1"/>
  <c r="AW125" i="3"/>
  <c r="AX125" i="3" s="1"/>
  <c r="AY125" i="3" s="1"/>
  <c r="AZ125" i="3" s="1"/>
  <c r="BD125" i="3"/>
  <c r="BE125" i="3" s="1"/>
  <c r="BF125" i="3" s="1"/>
  <c r="BG125" i="3" s="1"/>
  <c r="BK125" i="3"/>
  <c r="BL125" i="3" s="1"/>
  <c r="AI126" i="3"/>
  <c r="AJ126" i="3" s="1"/>
  <c r="AK126" i="3" s="1"/>
  <c r="AL126" i="3" s="1"/>
  <c r="AP126" i="3"/>
  <c r="AQ126" i="3" s="1"/>
  <c r="AR126" i="3" s="1"/>
  <c r="AS126" i="3" s="1"/>
  <c r="AW126" i="3"/>
  <c r="AX126" i="3" s="1"/>
  <c r="AY126" i="3" s="1"/>
  <c r="AZ126" i="3" s="1"/>
  <c r="BD126" i="3"/>
  <c r="BE126" i="3" s="1"/>
  <c r="BK126" i="3"/>
  <c r="BL126" i="3" s="1"/>
  <c r="AI127" i="3"/>
  <c r="AJ127" i="3" s="1"/>
  <c r="AP127" i="3"/>
  <c r="AQ127" i="3" s="1"/>
  <c r="AR127" i="3" s="1"/>
  <c r="AS127" i="3" s="1"/>
  <c r="AW127" i="3"/>
  <c r="AX127" i="3"/>
  <c r="BD127" i="3"/>
  <c r="BE127" i="3" s="1"/>
  <c r="BF127" i="3" s="1"/>
  <c r="BG127" i="3" s="1"/>
  <c r="BK127" i="3"/>
  <c r="BL127" i="3" s="1"/>
  <c r="BM127" i="3" s="1"/>
  <c r="BN127" i="3" s="1"/>
  <c r="AI128" i="3"/>
  <c r="AJ128" i="3" s="1"/>
  <c r="AK128" i="3" s="1"/>
  <c r="AL128" i="3" s="1"/>
  <c r="AP128" i="3"/>
  <c r="AQ128" i="3" s="1"/>
  <c r="AW128" i="3"/>
  <c r="AX128" i="3" s="1"/>
  <c r="BD128" i="3"/>
  <c r="BE128" i="3" s="1"/>
  <c r="BK128" i="3"/>
  <c r="BL128" i="3" s="1"/>
  <c r="BM128" i="3" s="1"/>
  <c r="BN128" i="3" s="1"/>
  <c r="AI129" i="3"/>
  <c r="AJ129" i="3" s="1"/>
  <c r="AP129" i="3"/>
  <c r="AQ129" i="3" s="1"/>
  <c r="AR129" i="3" s="1"/>
  <c r="AS129" i="3" s="1"/>
  <c r="AW129" i="3"/>
  <c r="AX129" i="3" s="1"/>
  <c r="AY129" i="3" s="1"/>
  <c r="AZ129" i="3" s="1"/>
  <c r="BD129" i="3"/>
  <c r="BE129" i="3" s="1"/>
  <c r="BF129" i="3" s="1"/>
  <c r="BG129" i="3" s="1"/>
  <c r="BK129" i="3"/>
  <c r="BL129" i="3" s="1"/>
  <c r="AI130" i="3"/>
  <c r="AJ130" i="3" s="1"/>
  <c r="AP130" i="3"/>
  <c r="AQ130" i="3"/>
  <c r="AW130" i="3"/>
  <c r="AX130" i="3" s="1"/>
  <c r="AY130" i="3" s="1"/>
  <c r="AZ130" i="3" s="1"/>
  <c r="BD130" i="3"/>
  <c r="BE130" i="3" s="1"/>
  <c r="BK130" i="3"/>
  <c r="BL130" i="3" s="1"/>
  <c r="BM130" i="3" s="1"/>
  <c r="BN130" i="3" s="1"/>
  <c r="AI131" i="3"/>
  <c r="AJ131" i="3" s="1"/>
  <c r="AK131" i="3" s="1"/>
  <c r="AL131" i="3" s="1"/>
  <c r="AP131" i="3"/>
  <c r="AQ131" i="3" s="1"/>
  <c r="AW131" i="3"/>
  <c r="AX131" i="3" s="1"/>
  <c r="BD131" i="3"/>
  <c r="BE131" i="3" s="1"/>
  <c r="BF131" i="3" s="1"/>
  <c r="BG131" i="3" s="1"/>
  <c r="BK131" i="3"/>
  <c r="BL131" i="3" s="1"/>
  <c r="AI132" i="3"/>
  <c r="AJ132" i="3" s="1"/>
  <c r="AP132" i="3"/>
  <c r="AQ132" i="3" s="1"/>
  <c r="AW132" i="3"/>
  <c r="AX132" i="3" s="1"/>
  <c r="AY132" i="3" s="1"/>
  <c r="AZ132" i="3" s="1"/>
  <c r="BD132" i="3"/>
  <c r="BE132" i="3"/>
  <c r="BF132" i="3" s="1"/>
  <c r="BG132" i="3" s="1"/>
  <c r="BK132" i="3"/>
  <c r="BL132" i="3" s="1"/>
  <c r="BM132" i="3" s="1"/>
  <c r="BN132" i="3" s="1"/>
  <c r="AI133" i="3"/>
  <c r="AJ133" i="3" s="1"/>
  <c r="AP133" i="3"/>
  <c r="AQ133" i="3" s="1"/>
  <c r="AW133" i="3"/>
  <c r="AX133" i="3" s="1"/>
  <c r="BD133" i="3"/>
  <c r="BE133" i="3" s="1"/>
  <c r="BF133" i="3" s="1"/>
  <c r="BG133" i="3" s="1"/>
  <c r="BK133" i="3"/>
  <c r="BL133" i="3" s="1"/>
  <c r="AI134" i="3"/>
  <c r="AJ134" i="3" s="1"/>
  <c r="AK134" i="3" s="1"/>
  <c r="AL134" i="3" s="1"/>
  <c r="AP134" i="3"/>
  <c r="AQ134" i="3"/>
  <c r="AW134" i="3"/>
  <c r="AX134" i="3" s="1"/>
  <c r="AY134" i="3" s="1"/>
  <c r="AZ134" i="3" s="1"/>
  <c r="BD134" i="3"/>
  <c r="BE134" i="3"/>
  <c r="BK134" i="3"/>
  <c r="BL134" i="3" s="1"/>
  <c r="BM134" i="3" s="1"/>
  <c r="BN134" i="3" s="1"/>
  <c r="AI135" i="3"/>
  <c r="AJ135" i="3" s="1"/>
  <c r="AP135" i="3"/>
  <c r="AQ135" i="3" s="1"/>
  <c r="AR135" i="3" s="1"/>
  <c r="AS135" i="3" s="1"/>
  <c r="AW135" i="3"/>
  <c r="AX135" i="3" s="1"/>
  <c r="BD135" i="3"/>
  <c r="BE135" i="3" s="1"/>
  <c r="BF135" i="3" s="1"/>
  <c r="BG135" i="3" s="1"/>
  <c r="BK135" i="3"/>
  <c r="BL135" i="3" s="1"/>
  <c r="BM135" i="3" s="1"/>
  <c r="BN135" i="3" s="1"/>
  <c r="BO135" i="3" s="1"/>
  <c r="AI136" i="3"/>
  <c r="AJ136" i="3" s="1"/>
  <c r="AK136" i="3" s="1"/>
  <c r="AL136" i="3" s="1"/>
  <c r="AP136" i="3"/>
  <c r="AQ136" i="3" s="1"/>
  <c r="AW136" i="3"/>
  <c r="AX136" i="3" s="1"/>
  <c r="BD136" i="3"/>
  <c r="BE136" i="3" s="1"/>
  <c r="BK136" i="3"/>
  <c r="BL136" i="3" s="1"/>
  <c r="BM136" i="3" s="1"/>
  <c r="BN136" i="3" s="1"/>
  <c r="AI137" i="3"/>
  <c r="AJ137" i="3" s="1"/>
  <c r="AP137" i="3"/>
  <c r="AQ137" i="3" s="1"/>
  <c r="AW137" i="3"/>
  <c r="AX137" i="3" s="1"/>
  <c r="AY137" i="3" s="1"/>
  <c r="AZ137" i="3" s="1"/>
  <c r="BD137" i="3"/>
  <c r="BE137" i="3" s="1"/>
  <c r="BF137" i="3" s="1"/>
  <c r="BG137" i="3" s="1"/>
  <c r="BK137" i="3"/>
  <c r="BL137" i="3" s="1"/>
  <c r="AI138" i="3"/>
  <c r="AJ138" i="3" s="1"/>
  <c r="AP138" i="3"/>
  <c r="AQ138" i="3" s="1"/>
  <c r="AW138" i="3"/>
  <c r="AX138" i="3" s="1"/>
  <c r="AY138" i="3" s="1"/>
  <c r="AZ138" i="3" s="1"/>
  <c r="BD138" i="3"/>
  <c r="BE138" i="3" s="1"/>
  <c r="BK138" i="3"/>
  <c r="BL138" i="3" s="1"/>
  <c r="BM138" i="3" s="1"/>
  <c r="BN138" i="3" s="1"/>
  <c r="AI139" i="3"/>
  <c r="AJ139" i="3"/>
  <c r="AK139" i="3" s="1"/>
  <c r="AL139" i="3" s="1"/>
  <c r="AP139" i="3"/>
  <c r="AQ139" i="3" s="1"/>
  <c r="AR139" i="3" s="1"/>
  <c r="AS139" i="3" s="1"/>
  <c r="AW139" i="3"/>
  <c r="AX139" i="3" s="1"/>
  <c r="BD139" i="3"/>
  <c r="BE139" i="3" s="1"/>
  <c r="BF139" i="3" s="1"/>
  <c r="BG139" i="3" s="1"/>
  <c r="BK139" i="3"/>
  <c r="BL139" i="3" s="1"/>
  <c r="AI140" i="3"/>
  <c r="AJ140" i="3"/>
  <c r="AK140" i="3" s="1"/>
  <c r="AL140" i="3" s="1"/>
  <c r="AP140" i="3"/>
  <c r="AQ140" i="3" s="1"/>
  <c r="AW140" i="3"/>
  <c r="AX140" i="3" s="1"/>
  <c r="AY140" i="3" s="1"/>
  <c r="AZ140" i="3" s="1"/>
  <c r="BD140" i="3"/>
  <c r="BE140" i="3" s="1"/>
  <c r="BK140" i="3"/>
  <c r="BL140" i="3" s="1"/>
  <c r="BM140" i="3" s="1"/>
  <c r="BN140" i="3" s="1"/>
  <c r="AI141" i="3"/>
  <c r="AJ141" i="3" s="1"/>
  <c r="AK141" i="3" s="1"/>
  <c r="AL141" i="3" s="1"/>
  <c r="AP141" i="3"/>
  <c r="AQ141" i="3" s="1"/>
  <c r="AW141" i="3"/>
  <c r="AX141" i="3" s="1"/>
  <c r="AY141" i="3" s="1"/>
  <c r="AZ141" i="3" s="1"/>
  <c r="BD141" i="3"/>
  <c r="BE141" i="3" s="1"/>
  <c r="BK141" i="3"/>
  <c r="BL141" i="3" s="1"/>
  <c r="AI142" i="3"/>
  <c r="AJ142" i="3" s="1"/>
  <c r="AK142" i="3" s="1"/>
  <c r="AL142" i="3" s="1"/>
  <c r="AM142" i="3" s="1"/>
  <c r="AP142" i="3"/>
  <c r="AQ142" i="3" s="1"/>
  <c r="AR142" i="3" s="1"/>
  <c r="AS142" i="3" s="1"/>
  <c r="AT142" i="3" s="1"/>
  <c r="AW142" i="3"/>
  <c r="AX142" i="3" s="1"/>
  <c r="BD142" i="3"/>
  <c r="BE142" i="3" s="1"/>
  <c r="BF142" i="3" s="1"/>
  <c r="BG142" i="3" s="1"/>
  <c r="BH142" i="3" s="1"/>
  <c r="BK142" i="3"/>
  <c r="BL142" i="3" s="1"/>
  <c r="AI143" i="3"/>
  <c r="AJ143" i="3" s="1"/>
  <c r="AK143" i="3" s="1"/>
  <c r="AL143" i="3" s="1"/>
  <c r="AM143" i="3" s="1"/>
  <c r="AP143" i="3"/>
  <c r="AQ143" i="3"/>
  <c r="AR143" i="3"/>
  <c r="AS143" i="3" s="1"/>
  <c r="AT143" i="3" s="1"/>
  <c r="AW143" i="3"/>
  <c r="AX143" i="3" s="1"/>
  <c r="BD143" i="3"/>
  <c r="BE143" i="3" s="1"/>
  <c r="BF143" i="3" s="1"/>
  <c r="BG143" i="3" s="1"/>
  <c r="BH143" i="3" s="1"/>
  <c r="BK143" i="3"/>
  <c r="BL143" i="3" s="1"/>
  <c r="BM143" i="3" s="1"/>
  <c r="BN143" i="3"/>
  <c r="AI144" i="3"/>
  <c r="AJ144" i="3" s="1"/>
  <c r="AP144" i="3"/>
  <c r="AQ144" i="3" s="1"/>
  <c r="AR144" i="3" s="1"/>
  <c r="AS144" i="3" s="1"/>
  <c r="AW144" i="3"/>
  <c r="AX144" i="3" s="1"/>
  <c r="BD144" i="3"/>
  <c r="BE144" i="3" s="1"/>
  <c r="BF144" i="3" s="1"/>
  <c r="BG144" i="3" s="1"/>
  <c r="BH144" i="3" s="1"/>
  <c r="BK144" i="3"/>
  <c r="BL144" i="3" s="1"/>
  <c r="BM144" i="3" s="1"/>
  <c r="BN144" i="3" s="1"/>
  <c r="BO144" i="3" s="1"/>
  <c r="AI145" i="3"/>
  <c r="AJ145" i="3" s="1"/>
  <c r="AP145" i="3"/>
  <c r="AQ145" i="3" s="1"/>
  <c r="AR145" i="3" s="1"/>
  <c r="AS145" i="3" s="1"/>
  <c r="AT145" i="3" s="1"/>
  <c r="AW145" i="3"/>
  <c r="AX145" i="3" s="1"/>
  <c r="AY145" i="3" s="1"/>
  <c r="AZ145" i="3" s="1"/>
  <c r="BD145" i="3"/>
  <c r="BE145" i="3" s="1"/>
  <c r="BK145" i="3"/>
  <c r="BL145" i="3" s="1"/>
  <c r="BM145" i="3" s="1"/>
  <c r="BN145" i="3" s="1"/>
  <c r="AI146" i="3"/>
  <c r="AJ146" i="3" s="1"/>
  <c r="AP146" i="3"/>
  <c r="AQ146" i="3" s="1"/>
  <c r="AR146" i="3" s="1"/>
  <c r="AS146" i="3"/>
  <c r="AT146" i="3" s="1"/>
  <c r="AW146" i="3"/>
  <c r="AX146" i="3" s="1"/>
  <c r="AY146" i="3" s="1"/>
  <c r="AZ146" i="3" s="1"/>
  <c r="BA146" i="3" s="1"/>
  <c r="BD146" i="3"/>
  <c r="BE146" i="3" s="1"/>
  <c r="BK146" i="3"/>
  <c r="BL146" i="3" s="1"/>
  <c r="BM146" i="3" s="1"/>
  <c r="BN146" i="3" s="1"/>
  <c r="BO146" i="3" s="1"/>
  <c r="AI147" i="3"/>
  <c r="AJ147" i="3" s="1"/>
  <c r="AK147" i="3" s="1"/>
  <c r="AL147" i="3" s="1"/>
  <c r="AP147" i="3"/>
  <c r="AQ147" i="3" s="1"/>
  <c r="AW147" i="3"/>
  <c r="AX147" i="3" s="1"/>
  <c r="AY147" i="3" s="1"/>
  <c r="AZ147" i="3" s="1"/>
  <c r="BA147" i="3" s="1"/>
  <c r="BD147" i="3"/>
  <c r="BE147" i="3" s="1"/>
  <c r="BK147" i="3"/>
  <c r="BL147" i="3" s="1"/>
  <c r="BM147" i="3" s="1"/>
  <c r="BN147" i="3" s="1"/>
  <c r="AI148" i="3"/>
  <c r="AJ148" i="3" s="1"/>
  <c r="AK148" i="3" s="1"/>
  <c r="AL148" i="3" s="1"/>
  <c r="AM148" i="3" s="1"/>
  <c r="AP148" i="3"/>
  <c r="AQ148" i="3" s="1"/>
  <c r="AW148" i="3"/>
  <c r="AX148" i="3" s="1"/>
  <c r="AY148" i="3" s="1"/>
  <c r="AZ148" i="3" s="1"/>
  <c r="BA148" i="3" s="1"/>
  <c r="BD148" i="3"/>
  <c r="BE148" i="3" s="1"/>
  <c r="BF148" i="3" s="1"/>
  <c r="BG148" i="3" s="1"/>
  <c r="BK148" i="3"/>
  <c r="BL148" i="3" s="1"/>
  <c r="AI149" i="3"/>
  <c r="AJ149" i="3" s="1"/>
  <c r="AK149" i="3" s="1"/>
  <c r="AL149" i="3"/>
  <c r="AP149" i="3"/>
  <c r="AQ149" i="3" s="1"/>
  <c r="AW149" i="3"/>
  <c r="AX149" i="3" s="1"/>
  <c r="AY149" i="3" s="1"/>
  <c r="AZ149" i="3" s="1"/>
  <c r="BD149" i="3"/>
  <c r="BE149" i="3" s="1"/>
  <c r="BF149" i="3" s="1"/>
  <c r="BG149" i="3" s="1"/>
  <c r="BH149" i="3" s="1"/>
  <c r="BK149" i="3"/>
  <c r="BL149" i="3" s="1"/>
  <c r="AI150" i="3"/>
  <c r="AJ150" i="3"/>
  <c r="AK150" i="3" s="1"/>
  <c r="AL150" i="3" s="1"/>
  <c r="AM150" i="3" s="1"/>
  <c r="AP150" i="3"/>
  <c r="AQ150" i="3" s="1"/>
  <c r="AR150" i="3" s="1"/>
  <c r="AS150" i="3" s="1"/>
  <c r="AW150" i="3"/>
  <c r="AX150" i="3" s="1"/>
  <c r="BD150" i="3"/>
  <c r="BE150" i="3" s="1"/>
  <c r="BF150" i="3" s="1"/>
  <c r="BG150" i="3" s="1"/>
  <c r="BK150" i="3"/>
  <c r="BL150" i="3" s="1"/>
  <c r="AI151" i="3"/>
  <c r="AJ151" i="3" s="1"/>
  <c r="AK151" i="3" s="1"/>
  <c r="AL151" i="3"/>
  <c r="AP151" i="3"/>
  <c r="AQ151" i="3"/>
  <c r="AR151" i="3" s="1"/>
  <c r="AS151" i="3" s="1"/>
  <c r="AT151" i="3" s="1"/>
  <c r="AW151" i="3"/>
  <c r="AX151" i="3" s="1"/>
  <c r="BD151" i="3"/>
  <c r="BE151" i="3"/>
  <c r="BF151" i="3" s="1"/>
  <c r="BG151" i="3" s="1"/>
  <c r="BH151" i="3" s="1"/>
  <c r="BK151" i="3"/>
  <c r="BL151" i="3" s="1"/>
  <c r="BM151" i="3" s="1"/>
  <c r="BN151" i="3" s="1"/>
  <c r="AI152" i="3"/>
  <c r="AJ152" i="3" s="1"/>
  <c r="AP152" i="3"/>
  <c r="AQ152" i="3" s="1"/>
  <c r="AR152" i="3" s="1"/>
  <c r="AS152" i="3" s="1"/>
  <c r="AW152" i="3"/>
  <c r="AX152" i="3" s="1"/>
  <c r="BD152" i="3"/>
  <c r="BE152" i="3" s="1"/>
  <c r="BF152" i="3" s="1"/>
  <c r="BG152" i="3" s="1"/>
  <c r="BK152" i="3"/>
  <c r="BL152" i="3" s="1"/>
  <c r="BM152" i="3" s="1"/>
  <c r="BN152" i="3" s="1"/>
  <c r="BO152" i="3" s="1"/>
  <c r="AI153" i="3"/>
  <c r="AJ153" i="3" s="1"/>
  <c r="AK153" i="3" s="1"/>
  <c r="AL153" i="3" s="1"/>
  <c r="AP153" i="3"/>
  <c r="AQ153" i="3" s="1"/>
  <c r="AR153" i="3" s="1"/>
  <c r="AS153" i="3" s="1"/>
  <c r="AW153" i="3"/>
  <c r="AX153" i="3" s="1"/>
  <c r="BD153" i="3"/>
  <c r="BE153" i="3" s="1"/>
  <c r="BF153" i="3" s="1"/>
  <c r="BG153" i="3" s="1"/>
  <c r="BH153" i="3" s="1"/>
  <c r="BK153" i="3"/>
  <c r="BL153" i="3" s="1"/>
  <c r="AI154" i="3"/>
  <c r="AJ154" i="3" s="1"/>
  <c r="AK154" i="3" s="1"/>
  <c r="AL154" i="3" s="1"/>
  <c r="AP154" i="3"/>
  <c r="AQ154" i="3"/>
  <c r="AW154" i="3"/>
  <c r="AX154" i="3" s="1"/>
  <c r="AY154" i="3" s="1"/>
  <c r="AZ154" i="3" s="1"/>
  <c r="BD154" i="3"/>
  <c r="BE154" i="3" s="1"/>
  <c r="BF154" i="3" s="1"/>
  <c r="BG154" i="3" s="1"/>
  <c r="BK154" i="3"/>
  <c r="BL154" i="3" s="1"/>
  <c r="BM154" i="3" s="1"/>
  <c r="BN154" i="3" s="1"/>
  <c r="AI155" i="3"/>
  <c r="AJ155" i="3" s="1"/>
  <c r="AK155" i="3" s="1"/>
  <c r="AL155" i="3" s="1"/>
  <c r="AP155" i="3"/>
  <c r="AQ155" i="3" s="1"/>
  <c r="AW155" i="3"/>
  <c r="AX155" i="3" s="1"/>
  <c r="AY155" i="3" s="1"/>
  <c r="AZ155" i="3" s="1"/>
  <c r="BD155" i="3"/>
  <c r="BE155" i="3"/>
  <c r="BF155" i="3" s="1"/>
  <c r="BG155" i="3" s="1"/>
  <c r="BK155" i="3"/>
  <c r="BL155" i="3" s="1"/>
  <c r="AI156" i="3"/>
  <c r="AJ156" i="3" s="1"/>
  <c r="AK156" i="3" s="1"/>
  <c r="AL156" i="3" s="1"/>
  <c r="AP156" i="3"/>
  <c r="AQ156" i="3" s="1"/>
  <c r="AW156" i="3"/>
  <c r="AX156" i="3" s="1"/>
  <c r="AY156" i="3" s="1"/>
  <c r="AZ156" i="3" s="1"/>
  <c r="BD156" i="3"/>
  <c r="BE156" i="3" s="1"/>
  <c r="BK156" i="3"/>
  <c r="BL156" i="3" s="1"/>
  <c r="BM156" i="3" s="1"/>
  <c r="BN156" i="3" s="1"/>
  <c r="AI157" i="3"/>
  <c r="AJ157" i="3" s="1"/>
  <c r="AK157" i="3" s="1"/>
  <c r="AL157" i="3" s="1"/>
  <c r="AP157" i="3"/>
  <c r="AQ157" i="3" s="1"/>
  <c r="AR157" i="3" s="1"/>
  <c r="AS157" i="3" s="1"/>
  <c r="AW157" i="3"/>
  <c r="AX157" i="3" s="1"/>
  <c r="AY157" i="3" s="1"/>
  <c r="AZ157" i="3" s="1"/>
  <c r="BD157" i="3"/>
  <c r="BE157" i="3" s="1"/>
  <c r="BK157" i="3"/>
  <c r="BL157" i="3"/>
  <c r="BM157" i="3" s="1"/>
  <c r="BN157" i="3" s="1"/>
  <c r="AI158" i="3"/>
  <c r="AJ158" i="3" s="1"/>
  <c r="AK158" i="3" s="1"/>
  <c r="AL158" i="3" s="1"/>
  <c r="AP158" i="3"/>
  <c r="AQ158" i="3" s="1"/>
  <c r="AW158" i="3"/>
  <c r="AX158" i="3" s="1"/>
  <c r="AY158" i="3" s="1"/>
  <c r="AZ158" i="3"/>
  <c r="BA158" i="3" s="1"/>
  <c r="BD158" i="3"/>
  <c r="BE158" i="3" s="1"/>
  <c r="BK158" i="3"/>
  <c r="BL158" i="3" s="1"/>
  <c r="BM158" i="3" s="1"/>
  <c r="BN158" i="3" s="1"/>
  <c r="AI159" i="3"/>
  <c r="AJ159" i="3" s="1"/>
  <c r="AP159" i="3"/>
  <c r="AQ159" i="3" s="1"/>
  <c r="AR159" i="3" s="1"/>
  <c r="AS159" i="3" s="1"/>
  <c r="AW159" i="3"/>
  <c r="AX159" i="3" s="1"/>
  <c r="AY159" i="3" s="1"/>
  <c r="AZ159" i="3" s="1"/>
  <c r="BD159" i="3"/>
  <c r="BE159" i="3" s="1"/>
  <c r="BF159" i="3" s="1"/>
  <c r="BG159" i="3" s="1"/>
  <c r="BK159" i="3"/>
  <c r="BL159" i="3" s="1"/>
  <c r="BM159" i="3" s="1"/>
  <c r="BN159" i="3" s="1"/>
  <c r="AI160" i="3"/>
  <c r="AJ160" i="3" s="1"/>
  <c r="AK160" i="3"/>
  <c r="AL160" i="3" s="1"/>
  <c r="AP160" i="3"/>
  <c r="AQ160" i="3" s="1"/>
  <c r="AR160" i="3" s="1"/>
  <c r="AS160" i="3"/>
  <c r="AT160" i="3" s="1"/>
  <c r="AW160" i="3"/>
  <c r="AX160" i="3" s="1"/>
  <c r="AY160" i="3" s="1"/>
  <c r="AZ160" i="3" s="1"/>
  <c r="BD160" i="3"/>
  <c r="BE160" i="3" s="1"/>
  <c r="BF160" i="3" s="1"/>
  <c r="BG160" i="3" s="1"/>
  <c r="BK160" i="3"/>
  <c r="BL160" i="3" s="1"/>
  <c r="BM160" i="3" s="1"/>
  <c r="BN160" i="3" s="1"/>
  <c r="AI161" i="3"/>
  <c r="AJ161" i="3" s="1"/>
  <c r="AK161" i="3" s="1"/>
  <c r="AL161" i="3"/>
  <c r="AP161" i="3"/>
  <c r="AQ161" i="3" s="1"/>
  <c r="AW161" i="3"/>
  <c r="AX161" i="3" s="1"/>
  <c r="AY161" i="3" s="1"/>
  <c r="AZ161" i="3" s="1"/>
  <c r="BA161" i="3" s="1"/>
  <c r="BD161" i="3"/>
  <c r="BE161" i="3" s="1"/>
  <c r="BF161" i="3" s="1"/>
  <c r="BG161" i="3" s="1"/>
  <c r="BK161" i="3"/>
  <c r="BL161" i="3" s="1"/>
  <c r="BM161" i="3" s="1"/>
  <c r="BN161" i="3" s="1"/>
  <c r="BO161" i="3" s="1"/>
  <c r="AI162" i="3"/>
  <c r="AJ162" i="3" s="1"/>
  <c r="AK162" i="3"/>
  <c r="AL162" i="3" s="1"/>
  <c r="AP162" i="3"/>
  <c r="AQ162" i="3" s="1"/>
  <c r="AR162" i="3" s="1"/>
  <c r="AS162" i="3" s="1"/>
  <c r="AW162" i="3"/>
  <c r="AX162" i="3" s="1"/>
  <c r="BD162" i="3"/>
  <c r="BE162" i="3" s="1"/>
  <c r="BF162" i="3" s="1"/>
  <c r="BG162" i="3" s="1"/>
  <c r="BK162" i="3"/>
  <c r="BL162" i="3" s="1"/>
  <c r="BM162" i="3" s="1"/>
  <c r="BN162" i="3" s="1"/>
  <c r="AI163" i="3"/>
  <c r="AJ163" i="3" s="1"/>
  <c r="AP163" i="3"/>
  <c r="AQ163" i="3" s="1"/>
  <c r="AW163" i="3"/>
  <c r="AX163" i="3" s="1"/>
  <c r="AY163" i="3" s="1"/>
  <c r="AZ163" i="3" s="1"/>
  <c r="BD163" i="3"/>
  <c r="BE163" i="3" s="1"/>
  <c r="BK163" i="3"/>
  <c r="BL163" i="3" s="1"/>
  <c r="BM163" i="3" s="1"/>
  <c r="BN163" i="3" s="1"/>
  <c r="AI164" i="3"/>
  <c r="AJ164" i="3" s="1"/>
  <c r="AK164" i="3" s="1"/>
  <c r="AL164" i="3" s="1"/>
  <c r="AP164" i="3"/>
  <c r="AQ164" i="3" s="1"/>
  <c r="AW164" i="3"/>
  <c r="AX164" i="3" s="1"/>
  <c r="BD164" i="3"/>
  <c r="BE164" i="3" s="1"/>
  <c r="BF164" i="3" s="1"/>
  <c r="BG164" i="3" s="1"/>
  <c r="BK164" i="3"/>
  <c r="BL164" i="3" s="1"/>
  <c r="AI165" i="3"/>
  <c r="AJ165" i="3" s="1"/>
  <c r="AK165" i="3" s="1"/>
  <c r="AL165" i="3" s="1"/>
  <c r="AP165" i="3"/>
  <c r="AQ165" i="3" s="1"/>
  <c r="AR165" i="3" s="1"/>
  <c r="AS165" i="3" s="1"/>
  <c r="AW165" i="3"/>
  <c r="AX165" i="3" s="1"/>
  <c r="BD165" i="3"/>
  <c r="BE165" i="3" s="1"/>
  <c r="BK165" i="3"/>
  <c r="BL165" i="3" s="1"/>
  <c r="BM165" i="3" s="1"/>
  <c r="BN165" i="3" s="1"/>
  <c r="BO165" i="3" s="1"/>
  <c r="AI166" i="3"/>
  <c r="AJ166" i="3"/>
  <c r="AK166" i="3" s="1"/>
  <c r="AL166" i="3" s="1"/>
  <c r="AP166" i="3"/>
  <c r="AQ166" i="3" s="1"/>
  <c r="AR166" i="3" s="1"/>
  <c r="AS166" i="3" s="1"/>
  <c r="AT166" i="3" s="1"/>
  <c r="AW166" i="3"/>
  <c r="AX166" i="3" s="1"/>
  <c r="AY166" i="3" s="1"/>
  <c r="AZ166" i="3" s="1"/>
  <c r="BD166" i="3"/>
  <c r="BE166" i="3" s="1"/>
  <c r="BF166" i="3" s="1"/>
  <c r="BG166" i="3" s="1"/>
  <c r="BK166" i="3"/>
  <c r="BL166" i="3" s="1"/>
  <c r="BM166" i="3" s="1"/>
  <c r="BN166" i="3" s="1"/>
  <c r="AI167" i="3"/>
  <c r="AJ167" i="3" s="1"/>
  <c r="AK167" i="3" s="1"/>
  <c r="AL167" i="3" s="1"/>
  <c r="AP167" i="3"/>
  <c r="AQ167" i="3" s="1"/>
  <c r="AW167" i="3"/>
  <c r="AX167" i="3" s="1"/>
  <c r="AY167" i="3" s="1"/>
  <c r="AZ167" i="3" s="1"/>
  <c r="BA167" i="3" s="1"/>
  <c r="BD167" i="3"/>
  <c r="BE167" i="3" s="1"/>
  <c r="BF167" i="3" s="1"/>
  <c r="BG167" i="3" s="1"/>
  <c r="BH167" i="3" s="1"/>
  <c r="BK167" i="3"/>
  <c r="BL167" i="3" s="1"/>
  <c r="BM167" i="3" s="1"/>
  <c r="BN167" i="3" s="1"/>
  <c r="BO167" i="3" s="1"/>
  <c r="AI168" i="3"/>
  <c r="AJ168" i="3" s="1"/>
  <c r="AP168" i="3"/>
  <c r="AQ168" i="3" s="1"/>
  <c r="AR168" i="3" s="1"/>
  <c r="AS168" i="3" s="1"/>
  <c r="AW168" i="3"/>
  <c r="AX168" i="3" s="1"/>
  <c r="BD168" i="3"/>
  <c r="BE168" i="3" s="1"/>
  <c r="BK168" i="3"/>
  <c r="BL168" i="3" s="1"/>
  <c r="BM168" i="3" s="1"/>
  <c r="BN168" i="3" s="1"/>
  <c r="BO168" i="3" s="1"/>
  <c r="AI169" i="3"/>
  <c r="AJ169" i="3" s="1"/>
  <c r="AK169" i="3"/>
  <c r="AL169" i="3" s="1"/>
  <c r="AP169" i="3"/>
  <c r="AQ169" i="3"/>
  <c r="AR169" i="3" s="1"/>
  <c r="AS169" i="3" s="1"/>
  <c r="AT169" i="3" s="1"/>
  <c r="AW169" i="3"/>
  <c r="AX169" i="3" s="1"/>
  <c r="AY169" i="3" s="1"/>
  <c r="AZ169" i="3" s="1"/>
  <c r="BA169" i="3" s="1"/>
  <c r="BD169" i="3"/>
  <c r="BE169" i="3" s="1"/>
  <c r="BK169" i="3"/>
  <c r="BL169" i="3" s="1"/>
  <c r="BM169" i="3" s="1"/>
  <c r="BN169" i="3" s="1"/>
  <c r="AI170" i="3"/>
  <c r="AJ170" i="3" s="1"/>
  <c r="AK170" i="3" s="1"/>
  <c r="AL170" i="3" s="1"/>
  <c r="AM170" i="3" s="1"/>
  <c r="AP170" i="3"/>
  <c r="AQ170" i="3" s="1"/>
  <c r="AR170" i="3" s="1"/>
  <c r="AS170" i="3" s="1"/>
  <c r="AW170" i="3"/>
  <c r="AX170" i="3" s="1"/>
  <c r="BD170" i="3"/>
  <c r="BE170" i="3" s="1"/>
  <c r="BF170" i="3"/>
  <c r="BG170" i="3" s="1"/>
  <c r="BK170" i="3"/>
  <c r="BL170" i="3" s="1"/>
  <c r="AI171" i="3"/>
  <c r="AJ171" i="3" s="1"/>
  <c r="AK171" i="3" s="1"/>
  <c r="AL171" i="3" s="1"/>
  <c r="AM171" i="3" s="1"/>
  <c r="AP171" i="3"/>
  <c r="AQ171" i="3" s="1"/>
  <c r="AW171" i="3"/>
  <c r="AX171" i="3" s="1"/>
  <c r="AY171" i="3" s="1"/>
  <c r="AZ171" i="3" s="1"/>
  <c r="BA171" i="3" s="1"/>
  <c r="BD171" i="3"/>
  <c r="BE171" i="3" s="1"/>
  <c r="BF171" i="3" s="1"/>
  <c r="BG171" i="3" s="1"/>
  <c r="BK171" i="3"/>
  <c r="BL171" i="3" s="1"/>
  <c r="BM171" i="3" s="1"/>
  <c r="BN171" i="3" s="1"/>
  <c r="BO171" i="3" s="1"/>
  <c r="AI172" i="3"/>
  <c r="AJ172" i="3" s="1"/>
  <c r="AK172" i="3" s="1"/>
  <c r="AL172" i="3" s="1"/>
  <c r="AP172" i="3"/>
  <c r="AQ172" i="3" s="1"/>
  <c r="AR172" i="3" s="1"/>
  <c r="AS172" i="3" s="1"/>
  <c r="AT172" i="3" s="1"/>
  <c r="AW172" i="3"/>
  <c r="AX172" i="3" s="1"/>
  <c r="BD172" i="3"/>
  <c r="BE172" i="3" s="1"/>
  <c r="BK172" i="3"/>
  <c r="BL172" i="3" s="1"/>
  <c r="BM172" i="3" s="1"/>
  <c r="BN172" i="3" s="1"/>
  <c r="AI173" i="3"/>
  <c r="AJ173" i="3" s="1"/>
  <c r="AK173" i="3" s="1"/>
  <c r="AL173" i="3" s="1"/>
  <c r="AM173" i="3" s="1"/>
  <c r="AP173" i="3"/>
  <c r="AQ173" i="3" s="1"/>
  <c r="AR173" i="3" s="1"/>
  <c r="AS173" i="3" s="1"/>
  <c r="AW173" i="3"/>
  <c r="AX173" i="3"/>
  <c r="AY173" i="3" s="1"/>
  <c r="AZ173" i="3" s="1"/>
  <c r="BD173" i="3"/>
  <c r="BE173" i="3" s="1"/>
  <c r="BK173" i="3"/>
  <c r="BL173" i="3"/>
  <c r="BM173" i="3"/>
  <c r="BN173" i="3" s="1"/>
  <c r="AI174" i="3"/>
  <c r="AJ174" i="3"/>
  <c r="AK174" i="3" s="1"/>
  <c r="AL174" i="3" s="1"/>
  <c r="AP174" i="3"/>
  <c r="AQ174" i="3" s="1"/>
  <c r="AR174" i="3" s="1"/>
  <c r="AS174" i="3" s="1"/>
  <c r="AT174" i="3" s="1"/>
  <c r="AU174" i="3" s="1"/>
  <c r="AW174" i="3"/>
  <c r="AX174" i="3" s="1"/>
  <c r="AY174" i="3" s="1"/>
  <c r="AZ174" i="3" s="1"/>
  <c r="BD174" i="3"/>
  <c r="BE174" i="3" s="1"/>
  <c r="BF174" i="3" s="1"/>
  <c r="BG174" i="3" s="1"/>
  <c r="BK174" i="3"/>
  <c r="BL174" i="3" s="1"/>
  <c r="AI175" i="3"/>
  <c r="AJ175" i="3" s="1"/>
  <c r="AP175" i="3"/>
  <c r="AQ175" i="3" s="1"/>
  <c r="AR175" i="3" s="1"/>
  <c r="AS175" i="3" s="1"/>
  <c r="AW175" i="3"/>
  <c r="AX175" i="3" s="1"/>
  <c r="AY175" i="3" s="1"/>
  <c r="AZ175" i="3" s="1"/>
  <c r="BA175" i="3" s="1"/>
  <c r="BB175" i="3" s="1"/>
  <c r="BD175" i="3"/>
  <c r="BE175" i="3" s="1"/>
  <c r="BF175" i="3" s="1"/>
  <c r="BG175" i="3" s="1"/>
  <c r="BK175" i="3"/>
  <c r="BL175" i="3"/>
  <c r="BM175" i="3" s="1"/>
  <c r="BN175" i="3" s="1"/>
  <c r="AI176" i="3"/>
  <c r="AJ176" i="3"/>
  <c r="AK176" i="3" s="1"/>
  <c r="AL176" i="3" s="1"/>
  <c r="AP176" i="3"/>
  <c r="AQ176" i="3" s="1"/>
  <c r="AW176" i="3"/>
  <c r="AX176" i="3" s="1"/>
  <c r="AY176" i="3" s="1"/>
  <c r="AZ176" i="3" s="1"/>
  <c r="BD176" i="3"/>
  <c r="BE176" i="3"/>
  <c r="BF176" i="3" s="1"/>
  <c r="BG176" i="3" s="1"/>
  <c r="BH176" i="3" s="1"/>
  <c r="BK176" i="3"/>
  <c r="BL176" i="3"/>
  <c r="BM176" i="3" s="1"/>
  <c r="BN176" i="3" s="1"/>
  <c r="AI177" i="3"/>
  <c r="AJ177" i="3" s="1"/>
  <c r="AK177" i="3" s="1"/>
  <c r="AL177" i="3" s="1"/>
  <c r="AP177" i="3"/>
  <c r="AQ177" i="3" s="1"/>
  <c r="AR177" i="3" s="1"/>
  <c r="AS177" i="3" s="1"/>
  <c r="AW177" i="3"/>
  <c r="AX177" i="3" s="1"/>
  <c r="AY177" i="3" s="1"/>
  <c r="AZ177" i="3" s="1"/>
  <c r="BA177" i="3" s="1"/>
  <c r="BD177" i="3"/>
  <c r="BE177" i="3"/>
  <c r="BF177" i="3" s="1"/>
  <c r="BG177" i="3" s="1"/>
  <c r="BK177" i="3"/>
  <c r="BL177" i="3" s="1"/>
  <c r="BM177" i="3" s="1"/>
  <c r="BN177" i="3" s="1"/>
  <c r="BO177" i="3" s="1"/>
  <c r="AI178" i="3"/>
  <c r="AJ178" i="3"/>
  <c r="AK178" i="3" s="1"/>
  <c r="AL178" i="3" s="1"/>
  <c r="AP178" i="3"/>
  <c r="AQ178" i="3" s="1"/>
  <c r="AR178" i="3" s="1"/>
  <c r="AS178" i="3" s="1"/>
  <c r="AT178" i="3" s="1"/>
  <c r="AU178" i="3" s="1"/>
  <c r="AW178" i="3"/>
  <c r="AX178" i="3" s="1"/>
  <c r="AY178" i="3" s="1"/>
  <c r="AZ178" i="3" s="1"/>
  <c r="BD178" i="3"/>
  <c r="BE178" i="3" s="1"/>
  <c r="BF178" i="3" s="1"/>
  <c r="BG178" i="3" s="1"/>
  <c r="BH178" i="3" s="1"/>
  <c r="BI178" i="3" s="1"/>
  <c r="BK178" i="3"/>
  <c r="BL178" i="3" s="1"/>
  <c r="BM178" i="3" s="1"/>
  <c r="BN178" i="3" s="1"/>
  <c r="AI179" i="3"/>
  <c r="AJ179" i="3" s="1"/>
  <c r="AK179" i="3" s="1"/>
  <c r="AL179" i="3" s="1"/>
  <c r="AM179" i="3" s="1"/>
  <c r="AP179" i="3"/>
  <c r="AQ179" i="3" s="1"/>
  <c r="AR179" i="3" s="1"/>
  <c r="AS179" i="3" s="1"/>
  <c r="AW179" i="3"/>
  <c r="AX179" i="3" s="1"/>
  <c r="AY179" i="3" s="1"/>
  <c r="AZ179" i="3" s="1"/>
  <c r="BA179" i="3" s="1"/>
  <c r="BD179" i="3"/>
  <c r="BE179" i="3"/>
  <c r="BF179" i="3" s="1"/>
  <c r="BG179" i="3" s="1"/>
  <c r="BK179" i="3"/>
  <c r="BL179" i="3" s="1"/>
  <c r="BM179" i="3" s="1"/>
  <c r="BN179" i="3" s="1"/>
  <c r="BO179" i="3" s="1"/>
  <c r="AI180" i="3"/>
  <c r="AJ180" i="3" s="1"/>
  <c r="AK180" i="3" s="1"/>
  <c r="AL180" i="3" s="1"/>
  <c r="AP180" i="3"/>
  <c r="AQ180" i="3" s="1"/>
  <c r="AR180" i="3" s="1"/>
  <c r="AS180" i="3" s="1"/>
  <c r="AT180" i="3" s="1"/>
  <c r="AU180" i="3" s="1"/>
  <c r="AW180" i="3"/>
  <c r="AX180" i="3" s="1"/>
  <c r="AY180" i="3" s="1"/>
  <c r="AZ180" i="3" s="1"/>
  <c r="BD180" i="3"/>
  <c r="BE180" i="3" s="1"/>
  <c r="BF180" i="3" s="1"/>
  <c r="BG180" i="3" s="1"/>
  <c r="BH180" i="3" s="1"/>
  <c r="BI180" i="3" s="1"/>
  <c r="BK180" i="3"/>
  <c r="BL180" i="3"/>
  <c r="BM180" i="3" s="1"/>
  <c r="BN180" i="3" s="1"/>
  <c r="AI181" i="3"/>
  <c r="AJ181" i="3"/>
  <c r="AK181" i="3" s="1"/>
  <c r="AL181" i="3" s="1"/>
  <c r="AM181" i="3" s="1"/>
  <c r="AN181" i="3" s="1"/>
  <c r="AP181" i="3"/>
  <c r="AQ181" i="3" s="1"/>
  <c r="AR181" i="3" s="1"/>
  <c r="AS181" i="3" s="1"/>
  <c r="AW181" i="3"/>
  <c r="AX181" i="3" s="1"/>
  <c r="AY181" i="3" s="1"/>
  <c r="AZ181" i="3" s="1"/>
  <c r="BA181" i="3" s="1"/>
  <c r="BB181" i="3" s="1"/>
  <c r="BD181" i="3"/>
  <c r="BE181" i="3" s="1"/>
  <c r="BF181" i="3" s="1"/>
  <c r="BG181" i="3" s="1"/>
  <c r="BK181" i="3"/>
  <c r="BL181" i="3" s="1"/>
  <c r="BM181" i="3" s="1"/>
  <c r="BN181" i="3" s="1"/>
  <c r="BO181" i="3" s="1"/>
  <c r="BP181" i="3" s="1"/>
  <c r="AI182" i="3"/>
  <c r="AJ182" i="3" s="1"/>
  <c r="AK182" i="3" s="1"/>
  <c r="AL182" i="3" s="1"/>
  <c r="AP182" i="3"/>
  <c r="AQ182" i="3" s="1"/>
  <c r="AR182" i="3" s="1"/>
  <c r="AS182" i="3" s="1"/>
  <c r="AT182" i="3" s="1"/>
  <c r="AW182" i="3"/>
  <c r="AX182" i="3"/>
  <c r="AY182" i="3" s="1"/>
  <c r="AZ182" i="3" s="1"/>
  <c r="BD182" i="3"/>
  <c r="BE182" i="3" s="1"/>
  <c r="BF182" i="3" s="1"/>
  <c r="BG182" i="3" s="1"/>
  <c r="BH182" i="3" s="1"/>
  <c r="BK182" i="3"/>
  <c r="BL182" i="3" s="1"/>
  <c r="BM182" i="3" s="1"/>
  <c r="BN182" i="3" s="1"/>
  <c r="AI183" i="3"/>
  <c r="AJ183" i="3" s="1"/>
  <c r="AK183" i="3" s="1"/>
  <c r="AL183" i="3" s="1"/>
  <c r="AM183" i="3" s="1"/>
  <c r="AN183" i="3" s="1"/>
  <c r="AP183" i="3"/>
  <c r="AQ183" i="3" s="1"/>
  <c r="AR183" i="3" s="1"/>
  <c r="AS183" i="3" s="1"/>
  <c r="AW183" i="3"/>
  <c r="AX183" i="3" s="1"/>
  <c r="AY183" i="3" s="1"/>
  <c r="AZ183" i="3" s="1"/>
  <c r="BA183" i="3" s="1"/>
  <c r="BB183" i="3" s="1"/>
  <c r="BD183" i="3"/>
  <c r="BE183" i="3" s="1"/>
  <c r="BF183" i="3" s="1"/>
  <c r="BG183" i="3" s="1"/>
  <c r="BK183" i="3"/>
  <c r="BL183" i="3" s="1"/>
  <c r="BM183" i="3" s="1"/>
  <c r="BN183" i="3" s="1"/>
  <c r="BO183" i="3" s="1"/>
  <c r="BP183" i="3" s="1"/>
  <c r="AI184" i="3"/>
  <c r="AJ184" i="3" s="1"/>
  <c r="AK184" i="3" s="1"/>
  <c r="AL184" i="3" s="1"/>
  <c r="AP184" i="3"/>
  <c r="AQ184" i="3" s="1"/>
  <c r="AR184" i="3" s="1"/>
  <c r="AS184" i="3" s="1"/>
  <c r="AT184" i="3" s="1"/>
  <c r="AU184" i="3" s="1"/>
  <c r="AW184" i="3"/>
  <c r="AX184" i="3" s="1"/>
  <c r="AY184" i="3" s="1"/>
  <c r="AZ184" i="3" s="1"/>
  <c r="BD184" i="3"/>
  <c r="BE184" i="3" s="1"/>
  <c r="BF184" i="3" s="1"/>
  <c r="BG184" i="3" s="1"/>
  <c r="BH184" i="3" s="1"/>
  <c r="BI184" i="3" s="1"/>
  <c r="BK184" i="3"/>
  <c r="BL184" i="3" s="1"/>
  <c r="BM184" i="3" s="1"/>
  <c r="BN184" i="3" s="1"/>
  <c r="AI185" i="3"/>
  <c r="AJ185" i="3" s="1"/>
  <c r="AK185" i="3" s="1"/>
  <c r="AL185" i="3" s="1"/>
  <c r="AM185" i="3" s="1"/>
  <c r="AN185" i="3" s="1"/>
  <c r="AP185" i="3"/>
  <c r="AQ185" i="3"/>
  <c r="AR185" i="3" s="1"/>
  <c r="AS185" i="3" s="1"/>
  <c r="AW185" i="3"/>
  <c r="AX185" i="3" s="1"/>
  <c r="AY185" i="3" s="1"/>
  <c r="AZ185" i="3" s="1"/>
  <c r="BA185" i="3" s="1"/>
  <c r="BB185" i="3" s="1"/>
  <c r="BD185" i="3"/>
  <c r="BE185" i="3"/>
  <c r="BF185" i="3" s="1"/>
  <c r="BG185" i="3" s="1"/>
  <c r="BK185" i="3"/>
  <c r="BL185" i="3" s="1"/>
  <c r="BM185" i="3" s="1"/>
  <c r="BN185" i="3" s="1"/>
  <c r="BO185" i="3" s="1"/>
  <c r="BP185" i="3" s="1"/>
  <c r="AI186" i="3"/>
  <c r="AJ186" i="3" s="1"/>
  <c r="AK186" i="3" s="1"/>
  <c r="AL186" i="3" s="1"/>
  <c r="AP186" i="3"/>
  <c r="AQ186" i="3" s="1"/>
  <c r="AR186" i="3" s="1"/>
  <c r="AS186" i="3" s="1"/>
  <c r="AT186" i="3" s="1"/>
  <c r="AU186" i="3" s="1"/>
  <c r="AW186" i="3"/>
  <c r="AX186" i="3" s="1"/>
  <c r="AY186" i="3" s="1"/>
  <c r="AZ186" i="3" s="1"/>
  <c r="BD186" i="3"/>
  <c r="BE186" i="3" s="1"/>
  <c r="BK186" i="3"/>
  <c r="BL186" i="3"/>
  <c r="BM186" i="3" s="1"/>
  <c r="BN186" i="3" s="1"/>
  <c r="AI187" i="3"/>
  <c r="AJ187" i="3" s="1"/>
  <c r="AK187" i="3" s="1"/>
  <c r="AL187" i="3" s="1"/>
  <c r="AP187" i="3"/>
  <c r="AQ187" i="3" s="1"/>
  <c r="AR187" i="3" s="1"/>
  <c r="AS187" i="3" s="1"/>
  <c r="AW187" i="3"/>
  <c r="AX187" i="3" s="1"/>
  <c r="AY187" i="3" s="1"/>
  <c r="AZ187" i="3" s="1"/>
  <c r="BA187" i="3" s="1"/>
  <c r="BD187" i="3"/>
  <c r="BE187" i="3" s="1"/>
  <c r="BF187" i="3" s="1"/>
  <c r="BG187" i="3" s="1"/>
  <c r="BK187" i="3"/>
  <c r="BL187" i="3" s="1"/>
  <c r="BM187" i="3" s="1"/>
  <c r="BN187" i="3" s="1"/>
  <c r="BO187" i="3" s="1"/>
  <c r="AI188" i="3"/>
  <c r="AJ188" i="3" s="1"/>
  <c r="AP188" i="3"/>
  <c r="AQ188" i="3" s="1"/>
  <c r="AW188" i="3"/>
  <c r="AX188" i="3" s="1"/>
  <c r="BD188" i="3"/>
  <c r="BE188" i="3"/>
  <c r="BF188" i="3" s="1"/>
  <c r="BG188" i="3" s="1"/>
  <c r="BK188" i="3"/>
  <c r="BL188" i="3" s="1"/>
  <c r="AI189" i="3"/>
  <c r="AJ189" i="3"/>
  <c r="AK189" i="3" s="1"/>
  <c r="AL189" i="3" s="1"/>
  <c r="AM189" i="3" s="1"/>
  <c r="AN189" i="3" s="1"/>
  <c r="AP189" i="3"/>
  <c r="AQ189" i="3" s="1"/>
  <c r="AW189" i="3"/>
  <c r="AX189" i="3" s="1"/>
  <c r="AY189" i="3" s="1"/>
  <c r="AZ189" i="3" s="1"/>
  <c r="BA189" i="3" s="1"/>
  <c r="BB189" i="3" s="1"/>
  <c r="BD189" i="3"/>
  <c r="BE189" i="3" s="1"/>
  <c r="BK189" i="3"/>
  <c r="BL189" i="3" s="1"/>
  <c r="BM189" i="3" s="1"/>
  <c r="BN189" i="3" s="1"/>
  <c r="AI190" i="3"/>
  <c r="AJ190" i="3" s="1"/>
  <c r="AP190" i="3"/>
  <c r="AQ190" i="3" s="1"/>
  <c r="AR190" i="3" s="1"/>
  <c r="AS190" i="3" s="1"/>
  <c r="AW190" i="3"/>
  <c r="AX190" i="3" s="1"/>
  <c r="BD190" i="3"/>
  <c r="BE190" i="3" s="1"/>
  <c r="BF190" i="3" s="1"/>
  <c r="BG190" i="3" s="1"/>
  <c r="BH190" i="3" s="1"/>
  <c r="BI190" i="3" s="1"/>
  <c r="BK190" i="3"/>
  <c r="BL190" i="3"/>
  <c r="BM190" i="3" s="1"/>
  <c r="BN190" i="3" s="1"/>
  <c r="AI191" i="3"/>
  <c r="AJ191" i="3" s="1"/>
  <c r="AK191" i="3" s="1"/>
  <c r="AL191" i="3" s="1"/>
  <c r="AM191" i="3" s="1"/>
  <c r="AP191" i="3"/>
  <c r="AQ191" i="3" s="1"/>
  <c r="AW191" i="3"/>
  <c r="AX191" i="3" s="1"/>
  <c r="AY191" i="3" s="1"/>
  <c r="AZ191" i="3" s="1"/>
  <c r="BA191" i="3" s="1"/>
  <c r="BD191" i="3"/>
  <c r="BE191" i="3" s="1"/>
  <c r="BK191" i="3"/>
  <c r="BL191" i="3" s="1"/>
  <c r="BM191" i="3" s="1"/>
  <c r="BN191" i="3" s="1"/>
  <c r="AI192" i="3"/>
  <c r="AJ192" i="3" s="1"/>
  <c r="AP192" i="3"/>
  <c r="AQ192" i="3" s="1"/>
  <c r="AW192" i="3"/>
  <c r="AX192" i="3" s="1"/>
  <c r="AY192" i="3" s="1"/>
  <c r="AZ192" i="3" s="1"/>
  <c r="BD192" i="3"/>
  <c r="BE192" i="3" s="1"/>
  <c r="BK192" i="3"/>
  <c r="BL192" i="3" s="1"/>
  <c r="AI193" i="3"/>
  <c r="AJ193" i="3"/>
  <c r="AK193" i="3" s="1"/>
  <c r="AL193" i="3" s="1"/>
  <c r="AM193" i="3" s="1"/>
  <c r="AP193" i="3"/>
  <c r="AQ193" i="3"/>
  <c r="AR193" i="3" s="1"/>
  <c r="AS193" i="3" s="1"/>
  <c r="AW193" i="3"/>
  <c r="AX193" i="3"/>
  <c r="AY193" i="3" s="1"/>
  <c r="AZ193" i="3" s="1"/>
  <c r="BA193" i="3" s="1"/>
  <c r="BD193" i="3"/>
  <c r="BE193" i="3" s="1"/>
  <c r="BK193" i="3"/>
  <c r="BL193" i="3" s="1"/>
  <c r="BM193" i="3" s="1"/>
  <c r="BN193" i="3" s="1"/>
  <c r="BO193" i="3" s="1"/>
  <c r="AI194" i="3"/>
  <c r="AJ194" i="3" s="1"/>
  <c r="AP194" i="3"/>
  <c r="AQ194" i="3"/>
  <c r="AR194" i="3" s="1"/>
  <c r="AS194" i="3" s="1"/>
  <c r="AW194" i="3"/>
  <c r="AX194" i="3" s="1"/>
  <c r="BD194" i="3"/>
  <c r="BE194" i="3" s="1"/>
  <c r="BK194" i="3"/>
  <c r="BL194" i="3" s="1"/>
  <c r="AI195" i="3"/>
  <c r="AJ195" i="3"/>
  <c r="AP195" i="3"/>
  <c r="AQ195" i="3"/>
  <c r="AR195" i="3" s="1"/>
  <c r="AS195" i="3" s="1"/>
  <c r="AW195" i="3"/>
  <c r="AX195" i="3" s="1"/>
  <c r="AY195" i="3" s="1"/>
  <c r="AZ195" i="3" s="1"/>
  <c r="BD195" i="3"/>
  <c r="BE195" i="3"/>
  <c r="BF195" i="3" s="1"/>
  <c r="BG195" i="3" s="1"/>
  <c r="BK195" i="3"/>
  <c r="BL195" i="3" s="1"/>
  <c r="AI196" i="3"/>
  <c r="AJ196" i="3" s="1"/>
  <c r="AP196" i="3"/>
  <c r="AQ196" i="3" s="1"/>
  <c r="AR196" i="3" s="1"/>
  <c r="AS196" i="3" s="1"/>
  <c r="AT196" i="3" s="1"/>
  <c r="AW196" i="3"/>
  <c r="AX196" i="3"/>
  <c r="AY196" i="3" s="1"/>
  <c r="AZ196" i="3" s="1"/>
  <c r="BD196" i="3"/>
  <c r="BE196" i="3" s="1"/>
  <c r="BK196" i="3"/>
  <c r="BL196" i="3" s="1"/>
  <c r="BM196" i="3" s="1"/>
  <c r="BN196" i="3" s="1"/>
  <c r="AI197" i="3"/>
  <c r="AJ197" i="3" s="1"/>
  <c r="AP197" i="3"/>
  <c r="AQ197" i="3" s="1"/>
  <c r="AW197" i="3"/>
  <c r="AX197" i="3" s="1"/>
  <c r="AY197" i="3" s="1"/>
  <c r="AZ197" i="3" s="1"/>
  <c r="BA197" i="3" s="1"/>
  <c r="BD197" i="3"/>
  <c r="BE197" i="3" s="1"/>
  <c r="BK197" i="3"/>
  <c r="BL197" i="3"/>
  <c r="BM197" i="3" s="1"/>
  <c r="BN197" i="3" s="1"/>
  <c r="BO197" i="3" s="1"/>
  <c r="AI198" i="3"/>
  <c r="AJ198" i="3" s="1"/>
  <c r="AK198" i="3" s="1"/>
  <c r="AL198" i="3" s="1"/>
  <c r="AP198" i="3"/>
  <c r="AQ198" i="3" s="1"/>
  <c r="AW198" i="3"/>
  <c r="AX198" i="3" s="1"/>
  <c r="BD198" i="3"/>
  <c r="BE198" i="3" s="1"/>
  <c r="BF198" i="3" s="1"/>
  <c r="BG198" i="3" s="1"/>
  <c r="BH198" i="3" s="1"/>
  <c r="BK198" i="3"/>
  <c r="BL198" i="3" s="1"/>
  <c r="BM198" i="3" s="1"/>
  <c r="BN198" i="3" s="1"/>
  <c r="BO198" i="3" s="1"/>
  <c r="AI199" i="3"/>
  <c r="AJ199" i="3" s="1"/>
  <c r="AK199" i="3" s="1"/>
  <c r="AL199" i="3" s="1"/>
  <c r="AM199" i="3" s="1"/>
  <c r="AP199" i="3"/>
  <c r="AQ199" i="3" s="1"/>
  <c r="AW199" i="3"/>
  <c r="AX199" i="3" s="1"/>
  <c r="AY199" i="3" s="1"/>
  <c r="AZ199" i="3" s="1"/>
  <c r="BA199" i="3" s="1"/>
  <c r="BD199" i="3"/>
  <c r="BE199" i="3" s="1"/>
  <c r="BK199" i="3"/>
  <c r="BL199" i="3" s="1"/>
  <c r="BM199" i="3" s="1"/>
  <c r="BN199" i="3" s="1"/>
  <c r="BO199" i="3" s="1"/>
  <c r="AI200" i="3"/>
  <c r="AJ200" i="3"/>
  <c r="AK200" i="3" s="1"/>
  <c r="AL200" i="3" s="1"/>
  <c r="AM200" i="3" s="1"/>
  <c r="AP200" i="3"/>
  <c r="AQ200" i="3" s="1"/>
  <c r="AR200" i="3" s="1"/>
  <c r="AS200" i="3" s="1"/>
  <c r="AT200" i="3" s="1"/>
  <c r="AW200" i="3"/>
  <c r="AX200" i="3" s="1"/>
  <c r="AY200" i="3" s="1"/>
  <c r="AZ200" i="3" s="1"/>
  <c r="BA200" i="3" s="1"/>
  <c r="BD200" i="3"/>
  <c r="BE200" i="3"/>
  <c r="BF200" i="3" s="1"/>
  <c r="BG200" i="3" s="1"/>
  <c r="BH200" i="3" s="1"/>
  <c r="BK200" i="3"/>
  <c r="BL200" i="3" s="1"/>
  <c r="BM200" i="3" s="1"/>
  <c r="BN200" i="3" s="1"/>
  <c r="BO200" i="3" s="1"/>
  <c r="AI201" i="3"/>
  <c r="AJ201" i="3" s="1"/>
  <c r="AK201" i="3" s="1"/>
  <c r="AL201" i="3" s="1"/>
  <c r="AM201" i="3" s="1"/>
  <c r="AP201" i="3"/>
  <c r="AQ201" i="3" s="1"/>
  <c r="AR201" i="3" s="1"/>
  <c r="AS201" i="3" s="1"/>
  <c r="AT201" i="3" s="1"/>
  <c r="AW201" i="3"/>
  <c r="AX201" i="3" s="1"/>
  <c r="AY201" i="3" s="1"/>
  <c r="AZ201" i="3" s="1"/>
  <c r="BA201" i="3" s="1"/>
  <c r="BD201" i="3"/>
  <c r="BE201" i="3" s="1"/>
  <c r="BF201" i="3" s="1"/>
  <c r="BG201" i="3" s="1"/>
  <c r="BH201" i="3" s="1"/>
  <c r="BK201" i="3"/>
  <c r="BL201" i="3" s="1"/>
  <c r="BM201" i="3" s="1"/>
  <c r="BN201" i="3" s="1"/>
  <c r="BO201" i="3" s="1"/>
  <c r="AI202" i="3"/>
  <c r="AJ202" i="3" s="1"/>
  <c r="AP202" i="3"/>
  <c r="AQ202" i="3" s="1"/>
  <c r="AR202" i="3" s="1"/>
  <c r="AS202" i="3" s="1"/>
  <c r="AT202" i="3" s="1"/>
  <c r="AW202" i="3"/>
  <c r="AX202" i="3" s="1"/>
  <c r="AY202" i="3" s="1"/>
  <c r="AZ202" i="3" s="1"/>
  <c r="BA202" i="3" s="1"/>
  <c r="BD202" i="3"/>
  <c r="BE202" i="3" s="1"/>
  <c r="BF202" i="3" s="1"/>
  <c r="BG202" i="3" s="1"/>
  <c r="BH202" i="3" s="1"/>
  <c r="BK202" i="3"/>
  <c r="BL202" i="3" s="1"/>
  <c r="AI203" i="3"/>
  <c r="AJ203" i="3"/>
  <c r="AK203" i="3" s="1"/>
  <c r="AL203" i="3" s="1"/>
  <c r="AM203" i="3" s="1"/>
  <c r="AP203" i="3"/>
  <c r="AQ203" i="3" s="1"/>
  <c r="AR203" i="3" s="1"/>
  <c r="AS203" i="3" s="1"/>
  <c r="AT203" i="3" s="1"/>
  <c r="AW203" i="3"/>
  <c r="AX203" i="3" s="1"/>
  <c r="AY203" i="3" s="1"/>
  <c r="AZ203" i="3" s="1"/>
  <c r="BA203" i="3" s="1"/>
  <c r="BD203" i="3"/>
  <c r="BE203" i="3" s="1"/>
  <c r="BF203" i="3" s="1"/>
  <c r="BG203" i="3" s="1"/>
  <c r="BH203" i="3" s="1"/>
  <c r="BK203" i="3"/>
  <c r="BL203" i="3" s="1"/>
  <c r="BM203" i="3" s="1"/>
  <c r="BN203" i="3" s="1"/>
  <c r="BO203" i="3" s="1"/>
  <c r="AI204" i="3"/>
  <c r="AJ204" i="3" s="1"/>
  <c r="AK204" i="3" s="1"/>
  <c r="AL204" i="3" s="1"/>
  <c r="AP204" i="3"/>
  <c r="AQ204" i="3" s="1"/>
  <c r="AR204" i="3" s="1"/>
  <c r="AS204" i="3" s="1"/>
  <c r="AT204" i="3" s="1"/>
  <c r="AW204" i="3"/>
  <c r="AX204" i="3" s="1"/>
  <c r="BD204" i="3"/>
  <c r="BE204" i="3" s="1"/>
  <c r="BF204" i="3" s="1"/>
  <c r="BG204" i="3" s="1"/>
  <c r="BH204" i="3" s="1"/>
  <c r="BK204" i="3"/>
  <c r="BL204" i="3" s="1"/>
  <c r="BM204" i="3" s="1"/>
  <c r="BN204" i="3" s="1"/>
  <c r="BO204" i="3" s="1"/>
  <c r="AI205" i="3"/>
  <c r="AJ205" i="3"/>
  <c r="AK205" i="3" s="1"/>
  <c r="AL205" i="3" s="1"/>
  <c r="AM205" i="3" s="1"/>
  <c r="AP205" i="3"/>
  <c r="AQ205" i="3" s="1"/>
  <c r="AW205" i="3"/>
  <c r="AX205" i="3" s="1"/>
  <c r="AY205" i="3" s="1"/>
  <c r="AZ205" i="3" s="1"/>
  <c r="BA205" i="3" s="1"/>
  <c r="BD205" i="3"/>
  <c r="BE205" i="3" s="1"/>
  <c r="BF205" i="3" s="1"/>
  <c r="BG205" i="3" s="1"/>
  <c r="BH205" i="3" s="1"/>
  <c r="BK205" i="3"/>
  <c r="BL205" i="3" s="1"/>
  <c r="BM205" i="3" s="1"/>
  <c r="BN205" i="3" s="1"/>
  <c r="BO205" i="3" s="1"/>
  <c r="AI206" i="3"/>
  <c r="AJ206" i="3" s="1"/>
  <c r="AK206" i="3" s="1"/>
  <c r="AL206" i="3" s="1"/>
  <c r="AP206" i="3"/>
  <c r="AQ206" i="3" s="1"/>
  <c r="AR206" i="3" s="1"/>
  <c r="AS206" i="3" s="1"/>
  <c r="AT206" i="3" s="1"/>
  <c r="AW206" i="3"/>
  <c r="AX206" i="3" s="1"/>
  <c r="AY206" i="3" s="1"/>
  <c r="AZ206" i="3" s="1"/>
  <c r="BA206" i="3" s="1"/>
  <c r="BD206" i="3"/>
  <c r="BE206" i="3"/>
  <c r="BF206" i="3" s="1"/>
  <c r="BG206" i="3" s="1"/>
  <c r="BH206" i="3" s="1"/>
  <c r="BK206" i="3"/>
  <c r="BL206" i="3" s="1"/>
  <c r="BM206" i="3" s="1"/>
  <c r="BN206" i="3" s="1"/>
  <c r="AI207" i="3"/>
  <c r="AJ207" i="3"/>
  <c r="AK207" i="3" s="1"/>
  <c r="AL207" i="3" s="1"/>
  <c r="AM207" i="3" s="1"/>
  <c r="AP207" i="3"/>
  <c r="AQ207" i="3" s="1"/>
  <c r="AR207" i="3" s="1"/>
  <c r="AS207" i="3" s="1"/>
  <c r="AT207" i="3" s="1"/>
  <c r="AW207" i="3"/>
  <c r="AX207" i="3" s="1"/>
  <c r="AY207" i="3" s="1"/>
  <c r="AZ207" i="3" s="1"/>
  <c r="BA207" i="3" s="1"/>
  <c r="BD207" i="3"/>
  <c r="BE207" i="3" s="1"/>
  <c r="BK207" i="3"/>
  <c r="BL207" i="3" s="1"/>
  <c r="BM207" i="3" s="1"/>
  <c r="BN207" i="3" s="1"/>
  <c r="BO207" i="3" s="1"/>
  <c r="AI208" i="3"/>
  <c r="AJ208" i="3"/>
  <c r="AK208" i="3" s="1"/>
  <c r="AL208" i="3" s="1"/>
  <c r="AM208" i="3" s="1"/>
  <c r="AP208" i="3"/>
  <c r="AQ208" i="3" s="1"/>
  <c r="AR208" i="3" s="1"/>
  <c r="AS208" i="3" s="1"/>
  <c r="AT208" i="3" s="1"/>
  <c r="AW208" i="3"/>
  <c r="AX208" i="3" s="1"/>
  <c r="AY208" i="3" s="1"/>
  <c r="AZ208" i="3" s="1"/>
  <c r="BD208" i="3"/>
  <c r="BE208" i="3" s="1"/>
  <c r="BF208" i="3" s="1"/>
  <c r="BG208" i="3" s="1"/>
  <c r="BH208" i="3" s="1"/>
  <c r="BK208" i="3"/>
  <c r="BL208" i="3"/>
  <c r="BM208" i="3" s="1"/>
  <c r="BN208" i="3" s="1"/>
  <c r="BO208" i="3" s="1"/>
  <c r="BP208" i="3" s="1"/>
  <c r="AI209" i="3"/>
  <c r="AJ209" i="3" s="1"/>
  <c r="AK209" i="3" s="1"/>
  <c r="AL209" i="3" s="1"/>
  <c r="AM209" i="3" s="1"/>
  <c r="AP209" i="3"/>
  <c r="AQ209" i="3" s="1"/>
  <c r="AR209" i="3" s="1"/>
  <c r="AS209" i="3" s="1"/>
  <c r="AT209" i="3" s="1"/>
  <c r="AW209" i="3"/>
  <c r="AX209" i="3" s="1"/>
  <c r="AY209" i="3" s="1"/>
  <c r="AZ209" i="3" s="1"/>
  <c r="BA209" i="3" s="1"/>
  <c r="BD209" i="3"/>
  <c r="BE209" i="3" s="1"/>
  <c r="BF209" i="3" s="1"/>
  <c r="BG209" i="3" s="1"/>
  <c r="BH209" i="3" s="1"/>
  <c r="BK209" i="3"/>
  <c r="BL209" i="3" s="1"/>
  <c r="BM209" i="3" s="1"/>
  <c r="BN209" i="3" s="1"/>
  <c r="BO209" i="3" s="1"/>
  <c r="AI210" i="3"/>
  <c r="AJ210" i="3"/>
  <c r="AK210" i="3" s="1"/>
  <c r="AL210" i="3" s="1"/>
  <c r="AM210" i="3" s="1"/>
  <c r="AP210" i="3"/>
  <c r="AQ210" i="3" s="1"/>
  <c r="AR210" i="3" s="1"/>
  <c r="AS210" i="3" s="1"/>
  <c r="AT210" i="3" s="1"/>
  <c r="AW210" i="3"/>
  <c r="AX210" i="3" s="1"/>
  <c r="AY210" i="3" s="1"/>
  <c r="AZ210" i="3" s="1"/>
  <c r="BA210" i="3" s="1"/>
  <c r="BD210" i="3"/>
  <c r="BE210" i="3" s="1"/>
  <c r="BF210" i="3" s="1"/>
  <c r="BG210" i="3" s="1"/>
  <c r="BH210" i="3" s="1"/>
  <c r="BK210" i="3"/>
  <c r="BL210" i="3"/>
  <c r="BM210" i="3" s="1"/>
  <c r="BN210" i="3" s="1"/>
  <c r="BO210" i="3" s="1"/>
  <c r="AI211" i="3"/>
  <c r="AJ211" i="3" s="1"/>
  <c r="AK211" i="3" s="1"/>
  <c r="AL211" i="3" s="1"/>
  <c r="AM211" i="3" s="1"/>
  <c r="AN211" i="3" s="1"/>
  <c r="AP211" i="3"/>
  <c r="AQ211" i="3"/>
  <c r="AR211" i="3" s="1"/>
  <c r="AS211" i="3" s="1"/>
  <c r="AT211" i="3" s="1"/>
  <c r="AU211" i="3" s="1"/>
  <c r="AW211" i="3"/>
  <c r="AX211" i="3" s="1"/>
  <c r="AY211" i="3" s="1"/>
  <c r="AZ211" i="3" s="1"/>
  <c r="BA211" i="3" s="1"/>
  <c r="BB211" i="3" s="1"/>
  <c r="BD211" i="3"/>
  <c r="BE211" i="3" s="1"/>
  <c r="BF211" i="3" s="1"/>
  <c r="BG211" i="3" s="1"/>
  <c r="BH211" i="3" s="1"/>
  <c r="BI211" i="3" s="1"/>
  <c r="BK211" i="3"/>
  <c r="BL211" i="3" s="1"/>
  <c r="BM211" i="3" s="1"/>
  <c r="BN211" i="3" s="1"/>
  <c r="BO211" i="3" s="1"/>
  <c r="BP211" i="3" s="1"/>
  <c r="AI212" i="3"/>
  <c r="AJ212" i="3" s="1"/>
  <c r="AK212" i="3" s="1"/>
  <c r="AL212" i="3" s="1"/>
  <c r="AM212" i="3" s="1"/>
  <c r="AP212" i="3"/>
  <c r="AQ212" i="3" s="1"/>
  <c r="AR212" i="3" s="1"/>
  <c r="AS212" i="3" s="1"/>
  <c r="AT212" i="3" s="1"/>
  <c r="AW212" i="3"/>
  <c r="AX212" i="3" s="1"/>
  <c r="AY212" i="3" s="1"/>
  <c r="AZ212" i="3" s="1"/>
  <c r="BA212" i="3" s="1"/>
  <c r="BD212" i="3"/>
  <c r="BE212" i="3" s="1"/>
  <c r="BF212" i="3" s="1"/>
  <c r="BG212" i="3" s="1"/>
  <c r="BH212" i="3" s="1"/>
  <c r="BK212" i="3"/>
  <c r="BL212" i="3" s="1"/>
  <c r="BM212" i="3" s="1"/>
  <c r="BN212" i="3" s="1"/>
  <c r="BO212" i="3" s="1"/>
  <c r="AI213" i="3"/>
  <c r="AJ213" i="3" s="1"/>
  <c r="AK213" i="3" s="1"/>
  <c r="AL213" i="3" s="1"/>
  <c r="AM213" i="3" s="1"/>
  <c r="AP213" i="3"/>
  <c r="AQ213" i="3" s="1"/>
  <c r="AR213" i="3" s="1"/>
  <c r="AS213" i="3" s="1"/>
  <c r="AT213" i="3" s="1"/>
  <c r="AW213" i="3"/>
  <c r="AX213" i="3" s="1"/>
  <c r="AY213" i="3" s="1"/>
  <c r="AZ213" i="3" s="1"/>
  <c r="BA213" i="3" s="1"/>
  <c r="BD213" i="3"/>
  <c r="BE213" i="3" s="1"/>
  <c r="BF213" i="3" s="1"/>
  <c r="BG213" i="3" s="1"/>
  <c r="BH213" i="3" s="1"/>
  <c r="BK213" i="3"/>
  <c r="BL213" i="3" s="1"/>
  <c r="BM213" i="3" s="1"/>
  <c r="BN213" i="3" s="1"/>
  <c r="BO213" i="3" s="1"/>
  <c r="BK84" i="3"/>
  <c r="BL84" i="3" s="1"/>
  <c r="BM84" i="3" s="1"/>
  <c r="BD84" i="3"/>
  <c r="BE84" i="3" s="1"/>
  <c r="BF84" i="3" s="1"/>
  <c r="AW84" i="3"/>
  <c r="AX84" i="3" s="1"/>
  <c r="AY84" i="3" s="1"/>
  <c r="AP84" i="3"/>
  <c r="AQ84" i="3" s="1"/>
  <c r="AI84" i="3"/>
  <c r="AJ84" i="3" s="1"/>
  <c r="AK84" i="3" s="1"/>
  <c r="AB85" i="3"/>
  <c r="AC85" i="3" s="1"/>
  <c r="AB86" i="3"/>
  <c r="AC86" i="3" s="1"/>
  <c r="AD86" i="3" s="1"/>
  <c r="AE86" i="3" s="1"/>
  <c r="AF86" i="3" s="1"/>
  <c r="AB87" i="3"/>
  <c r="AC87" i="3" s="1"/>
  <c r="AB88" i="3"/>
  <c r="AC88" i="3" s="1"/>
  <c r="AD88" i="3" s="1"/>
  <c r="AE88" i="3" s="1"/>
  <c r="AF88" i="3" s="1"/>
  <c r="AB89" i="3"/>
  <c r="AC89" i="3" s="1"/>
  <c r="AB90" i="3"/>
  <c r="AC90" i="3" s="1"/>
  <c r="AD90" i="3" s="1"/>
  <c r="AE90" i="3" s="1"/>
  <c r="AF90" i="3" s="1"/>
  <c r="AB91" i="3"/>
  <c r="AC91" i="3" s="1"/>
  <c r="AB92" i="3"/>
  <c r="AC92" i="3" s="1"/>
  <c r="AD92" i="3" s="1"/>
  <c r="AE92" i="3" s="1"/>
  <c r="AF92" i="3" s="1"/>
  <c r="AB93" i="3"/>
  <c r="AC93" i="3" s="1"/>
  <c r="AB94" i="3"/>
  <c r="AC94" i="3" s="1"/>
  <c r="AD94" i="3" s="1"/>
  <c r="AE94" i="3" s="1"/>
  <c r="AF94" i="3" s="1"/>
  <c r="AB95" i="3"/>
  <c r="AC95" i="3" s="1"/>
  <c r="AB96" i="3"/>
  <c r="AC96" i="3" s="1"/>
  <c r="AD96" i="3" s="1"/>
  <c r="AE96" i="3" s="1"/>
  <c r="AF96" i="3" s="1"/>
  <c r="AB97" i="3"/>
  <c r="AC97" i="3" s="1"/>
  <c r="AB98" i="3"/>
  <c r="AC98" i="3" s="1"/>
  <c r="AD98" i="3" s="1"/>
  <c r="AE98" i="3" s="1"/>
  <c r="AF98" i="3" s="1"/>
  <c r="AB99" i="3"/>
  <c r="AC99" i="3" s="1"/>
  <c r="AB100" i="3"/>
  <c r="AC100" i="3" s="1"/>
  <c r="AD100" i="3" s="1"/>
  <c r="AE100" i="3" s="1"/>
  <c r="AF100" i="3" s="1"/>
  <c r="AB101" i="3"/>
  <c r="AC101" i="3" s="1"/>
  <c r="AB102" i="3"/>
  <c r="AC102" i="3" s="1"/>
  <c r="AD102" i="3" s="1"/>
  <c r="AE102" i="3" s="1"/>
  <c r="AF102" i="3" s="1"/>
  <c r="AB103" i="3"/>
  <c r="AC103" i="3" s="1"/>
  <c r="AB104" i="3"/>
  <c r="AC104" i="3" s="1"/>
  <c r="AD104" i="3" s="1"/>
  <c r="AE104" i="3" s="1"/>
  <c r="AF104" i="3" s="1"/>
  <c r="AB105" i="3"/>
  <c r="AC105" i="3" s="1"/>
  <c r="AB106" i="3"/>
  <c r="AC106" i="3" s="1"/>
  <c r="AD106" i="3" s="1"/>
  <c r="AE106" i="3" s="1"/>
  <c r="AF106" i="3" s="1"/>
  <c r="AB107" i="3"/>
  <c r="AC107" i="3" s="1"/>
  <c r="AB108" i="3"/>
  <c r="AC108" i="3" s="1"/>
  <c r="AD108" i="3" s="1"/>
  <c r="AE108" i="3" s="1"/>
  <c r="AF108" i="3" s="1"/>
  <c r="AB109" i="3"/>
  <c r="AC109" i="3" s="1"/>
  <c r="AB110" i="3"/>
  <c r="AC110" i="3" s="1"/>
  <c r="AD110" i="3" s="1"/>
  <c r="AE110" i="3" s="1"/>
  <c r="AF110" i="3" s="1"/>
  <c r="AG110" i="3" s="1"/>
  <c r="AB111" i="3"/>
  <c r="AC111" i="3" s="1"/>
  <c r="AB112" i="3"/>
  <c r="AC112" i="3" s="1"/>
  <c r="AD112" i="3" s="1"/>
  <c r="AE112" i="3" s="1"/>
  <c r="AF112" i="3" s="1"/>
  <c r="AB113" i="3"/>
  <c r="AC113" i="3" s="1"/>
  <c r="AB114" i="3"/>
  <c r="AC114" i="3" s="1"/>
  <c r="AD114" i="3" s="1"/>
  <c r="AE114" i="3" s="1"/>
  <c r="AF114" i="3" s="1"/>
  <c r="AB115" i="3"/>
  <c r="AC115" i="3" s="1"/>
  <c r="AB116" i="3"/>
  <c r="AC116" i="3" s="1"/>
  <c r="AD116" i="3" s="1"/>
  <c r="AE116" i="3" s="1"/>
  <c r="AF116" i="3" s="1"/>
  <c r="AB117" i="3"/>
  <c r="AC117" i="3" s="1"/>
  <c r="AB118" i="3"/>
  <c r="AC118" i="3" s="1"/>
  <c r="AD118" i="3" s="1"/>
  <c r="AE118" i="3" s="1"/>
  <c r="AF118" i="3" s="1"/>
  <c r="AB119" i="3"/>
  <c r="AC119" i="3" s="1"/>
  <c r="AB120" i="3"/>
  <c r="AC120" i="3" s="1"/>
  <c r="AD120" i="3" s="1"/>
  <c r="AE120" i="3" s="1"/>
  <c r="AF120" i="3" s="1"/>
  <c r="AB121" i="3"/>
  <c r="AC121" i="3" s="1"/>
  <c r="AB122" i="3"/>
  <c r="AC122" i="3" s="1"/>
  <c r="AD122" i="3" s="1"/>
  <c r="AE122" i="3" s="1"/>
  <c r="AF122" i="3" s="1"/>
  <c r="AB123" i="3"/>
  <c r="AC123" i="3" s="1"/>
  <c r="AB124" i="3"/>
  <c r="AC124" i="3" s="1"/>
  <c r="AD124" i="3" s="1"/>
  <c r="AE124" i="3" s="1"/>
  <c r="AF124" i="3" s="1"/>
  <c r="AB125" i="3"/>
  <c r="AC125" i="3" s="1"/>
  <c r="AB126" i="3"/>
  <c r="AC126" i="3" s="1"/>
  <c r="AD126" i="3" s="1"/>
  <c r="AE126" i="3" s="1"/>
  <c r="AF126" i="3" s="1"/>
  <c r="AB127" i="3"/>
  <c r="AC127" i="3" s="1"/>
  <c r="AB128" i="3"/>
  <c r="AC128" i="3" s="1"/>
  <c r="AD128" i="3" s="1"/>
  <c r="AE128" i="3" s="1"/>
  <c r="AF128" i="3" s="1"/>
  <c r="AB129" i="3"/>
  <c r="AC129" i="3" s="1"/>
  <c r="AB130" i="3"/>
  <c r="AC130" i="3" s="1"/>
  <c r="AD130" i="3" s="1"/>
  <c r="AE130" i="3" s="1"/>
  <c r="AF130" i="3" s="1"/>
  <c r="AB131" i="3"/>
  <c r="AC131" i="3" s="1"/>
  <c r="AB132" i="3"/>
  <c r="AC132" i="3" s="1"/>
  <c r="AD132" i="3" s="1"/>
  <c r="AE132" i="3" s="1"/>
  <c r="AF132" i="3" s="1"/>
  <c r="AB133" i="3"/>
  <c r="AC133" i="3" s="1"/>
  <c r="AB134" i="3"/>
  <c r="AC134" i="3" s="1"/>
  <c r="AD134" i="3" s="1"/>
  <c r="AE134" i="3" s="1"/>
  <c r="AF134" i="3" s="1"/>
  <c r="AB135" i="3"/>
  <c r="AC135" i="3" s="1"/>
  <c r="AB136" i="3"/>
  <c r="AC136" i="3" s="1"/>
  <c r="AD136" i="3" s="1"/>
  <c r="AE136" i="3" s="1"/>
  <c r="AF136" i="3" s="1"/>
  <c r="AB137" i="3"/>
  <c r="AC137" i="3" s="1"/>
  <c r="AB138" i="3"/>
  <c r="AC138" i="3" s="1"/>
  <c r="AD138" i="3" s="1"/>
  <c r="AE138" i="3" s="1"/>
  <c r="AF138" i="3" s="1"/>
  <c r="AB139" i="3"/>
  <c r="AC139" i="3" s="1"/>
  <c r="AB140" i="3"/>
  <c r="AC140" i="3" s="1"/>
  <c r="AD140" i="3" s="1"/>
  <c r="AE140" i="3" s="1"/>
  <c r="AF140" i="3" s="1"/>
  <c r="AB141" i="3"/>
  <c r="AC141" i="3" s="1"/>
  <c r="AB142" i="3"/>
  <c r="AC142" i="3" s="1"/>
  <c r="AD142" i="3" s="1"/>
  <c r="AE142" i="3" s="1"/>
  <c r="AF142" i="3" s="1"/>
  <c r="AB143" i="3"/>
  <c r="AC143" i="3" s="1"/>
  <c r="AB144" i="3"/>
  <c r="AC144" i="3" s="1"/>
  <c r="AD144" i="3" s="1"/>
  <c r="AE144" i="3" s="1"/>
  <c r="AF144" i="3" s="1"/>
  <c r="AB145" i="3"/>
  <c r="AC145" i="3" s="1"/>
  <c r="AB146" i="3"/>
  <c r="AC146" i="3" s="1"/>
  <c r="AD146" i="3" s="1"/>
  <c r="AE146" i="3" s="1"/>
  <c r="AF146" i="3" s="1"/>
  <c r="AB147" i="3"/>
  <c r="AC147" i="3" s="1"/>
  <c r="AB148" i="3"/>
  <c r="AC148" i="3" s="1"/>
  <c r="AD148" i="3" s="1"/>
  <c r="AE148" i="3" s="1"/>
  <c r="AF148" i="3" s="1"/>
  <c r="AB149" i="3"/>
  <c r="AC149" i="3" s="1"/>
  <c r="AB150" i="3"/>
  <c r="AC150" i="3" s="1"/>
  <c r="AD150" i="3" s="1"/>
  <c r="AE150" i="3" s="1"/>
  <c r="AF150" i="3" s="1"/>
  <c r="AB151" i="3"/>
  <c r="AC151" i="3" s="1"/>
  <c r="AB152" i="3"/>
  <c r="AC152" i="3" s="1"/>
  <c r="AD152" i="3" s="1"/>
  <c r="AE152" i="3" s="1"/>
  <c r="AF152" i="3" s="1"/>
  <c r="AB153" i="3"/>
  <c r="AC153" i="3" s="1"/>
  <c r="AB154" i="3"/>
  <c r="AC154" i="3" s="1"/>
  <c r="AD154" i="3" s="1"/>
  <c r="AE154" i="3" s="1"/>
  <c r="AF154" i="3" s="1"/>
  <c r="AB155" i="3"/>
  <c r="AC155" i="3" s="1"/>
  <c r="AB156" i="3"/>
  <c r="AC156" i="3" s="1"/>
  <c r="AD156" i="3" s="1"/>
  <c r="AE156" i="3" s="1"/>
  <c r="AF156" i="3" s="1"/>
  <c r="AB157" i="3"/>
  <c r="AC157" i="3" s="1"/>
  <c r="AB158" i="3"/>
  <c r="AC158" i="3" s="1"/>
  <c r="AD158" i="3" s="1"/>
  <c r="AE158" i="3" s="1"/>
  <c r="AF158" i="3" s="1"/>
  <c r="AB159" i="3"/>
  <c r="AC159" i="3" s="1"/>
  <c r="AB160" i="3"/>
  <c r="AC160" i="3" s="1"/>
  <c r="AD160" i="3" s="1"/>
  <c r="AE160" i="3" s="1"/>
  <c r="AF160" i="3" s="1"/>
  <c r="AB161" i="3"/>
  <c r="AC161" i="3" s="1"/>
  <c r="AB162" i="3"/>
  <c r="AC162" i="3" s="1"/>
  <c r="AD162" i="3" s="1"/>
  <c r="AE162" i="3" s="1"/>
  <c r="AF162" i="3" s="1"/>
  <c r="AB163" i="3"/>
  <c r="AC163" i="3" s="1"/>
  <c r="AB164" i="3"/>
  <c r="AC164" i="3" s="1"/>
  <c r="AD164" i="3" s="1"/>
  <c r="AE164" i="3" s="1"/>
  <c r="AF164" i="3" s="1"/>
  <c r="AB165" i="3"/>
  <c r="AC165" i="3" s="1"/>
  <c r="AB166" i="3"/>
  <c r="AC166" i="3" s="1"/>
  <c r="AD166" i="3" s="1"/>
  <c r="AE166" i="3" s="1"/>
  <c r="AF166" i="3" s="1"/>
  <c r="AB167" i="3"/>
  <c r="AC167" i="3" s="1"/>
  <c r="AB168" i="3"/>
  <c r="AC168" i="3" s="1"/>
  <c r="AD168" i="3" s="1"/>
  <c r="AE168" i="3" s="1"/>
  <c r="AF168" i="3" s="1"/>
  <c r="AB169" i="3"/>
  <c r="AC169" i="3" s="1"/>
  <c r="AB170" i="3"/>
  <c r="AC170" i="3" s="1"/>
  <c r="AD170" i="3" s="1"/>
  <c r="AE170" i="3" s="1"/>
  <c r="AF170" i="3" s="1"/>
  <c r="AB171" i="3"/>
  <c r="AC171" i="3" s="1"/>
  <c r="AB172" i="3"/>
  <c r="AC172" i="3" s="1"/>
  <c r="AD172" i="3" s="1"/>
  <c r="AE172" i="3" s="1"/>
  <c r="AF172" i="3" s="1"/>
  <c r="AB173" i="3"/>
  <c r="AC173" i="3" s="1"/>
  <c r="AB174" i="3"/>
  <c r="AC174" i="3" s="1"/>
  <c r="AD174" i="3" s="1"/>
  <c r="AE174" i="3" s="1"/>
  <c r="AF174" i="3" s="1"/>
  <c r="AB175" i="3"/>
  <c r="AC175" i="3" s="1"/>
  <c r="AB176" i="3"/>
  <c r="AC176" i="3" s="1"/>
  <c r="AD176" i="3" s="1"/>
  <c r="AE176" i="3" s="1"/>
  <c r="AF176" i="3" s="1"/>
  <c r="AB177" i="3"/>
  <c r="AC177" i="3" s="1"/>
  <c r="AB178" i="3"/>
  <c r="AC178" i="3" s="1"/>
  <c r="AD178" i="3" s="1"/>
  <c r="AE178" i="3" s="1"/>
  <c r="AF178" i="3" s="1"/>
  <c r="AG178" i="3" s="1"/>
  <c r="AB179" i="3"/>
  <c r="AC179" i="3" s="1"/>
  <c r="AB180" i="3"/>
  <c r="AC180" i="3" s="1"/>
  <c r="AD180" i="3" s="1"/>
  <c r="AE180" i="3" s="1"/>
  <c r="AF180" i="3" s="1"/>
  <c r="AB181" i="3"/>
  <c r="AC181" i="3" s="1"/>
  <c r="AB182" i="3"/>
  <c r="AC182" i="3" s="1"/>
  <c r="AD182" i="3" s="1"/>
  <c r="AE182" i="3" s="1"/>
  <c r="AF182" i="3" s="1"/>
  <c r="AB183" i="3"/>
  <c r="AC183" i="3" s="1"/>
  <c r="AB184" i="3"/>
  <c r="AC184" i="3" s="1"/>
  <c r="AD184" i="3" s="1"/>
  <c r="AE184" i="3" s="1"/>
  <c r="AF184" i="3" s="1"/>
  <c r="AG184" i="3" s="1"/>
  <c r="AB185" i="3"/>
  <c r="AC185" i="3" s="1"/>
  <c r="AB186" i="3"/>
  <c r="AC186" i="3" s="1"/>
  <c r="AD186" i="3" s="1"/>
  <c r="AE186" i="3" s="1"/>
  <c r="AF186" i="3" s="1"/>
  <c r="AB187" i="3"/>
  <c r="AC187" i="3" s="1"/>
  <c r="AB188" i="3"/>
  <c r="AC188" i="3" s="1"/>
  <c r="AD188" i="3" s="1"/>
  <c r="AE188" i="3" s="1"/>
  <c r="AF188" i="3" s="1"/>
  <c r="AB189" i="3"/>
  <c r="AC189" i="3" s="1"/>
  <c r="AB190" i="3"/>
  <c r="AC190" i="3" s="1"/>
  <c r="AD190" i="3" s="1"/>
  <c r="AE190" i="3" s="1"/>
  <c r="AF190" i="3" s="1"/>
  <c r="AG190" i="3" s="1"/>
  <c r="AB191" i="3"/>
  <c r="AC191" i="3" s="1"/>
  <c r="AB192" i="3"/>
  <c r="AC192" i="3" s="1"/>
  <c r="AD192" i="3" s="1"/>
  <c r="AE192" i="3" s="1"/>
  <c r="AF192" i="3" s="1"/>
  <c r="AB193" i="3"/>
  <c r="AC193" i="3" s="1"/>
  <c r="AB194" i="3"/>
  <c r="AC194" i="3" s="1"/>
  <c r="AD194" i="3" s="1"/>
  <c r="AE194" i="3" s="1"/>
  <c r="AF194" i="3" s="1"/>
  <c r="AB195" i="3"/>
  <c r="AC195" i="3" s="1"/>
  <c r="AB196" i="3"/>
  <c r="AC196" i="3" s="1"/>
  <c r="AD196" i="3" s="1"/>
  <c r="AE196" i="3" s="1"/>
  <c r="AF196" i="3" s="1"/>
  <c r="AB197" i="3"/>
  <c r="AC197" i="3" s="1"/>
  <c r="AB198" i="3"/>
  <c r="AC198" i="3" s="1"/>
  <c r="AD198" i="3" s="1"/>
  <c r="AE198" i="3" s="1"/>
  <c r="AF198" i="3" s="1"/>
  <c r="AB199" i="3"/>
  <c r="AC199" i="3" s="1"/>
  <c r="AB200" i="3"/>
  <c r="AC200" i="3" s="1"/>
  <c r="AD200" i="3" s="1"/>
  <c r="AE200" i="3" s="1"/>
  <c r="AF200" i="3" s="1"/>
  <c r="AB201" i="3"/>
  <c r="AC201" i="3" s="1"/>
  <c r="AB202" i="3"/>
  <c r="AC202" i="3" s="1"/>
  <c r="AD202" i="3" s="1"/>
  <c r="AE202" i="3" s="1"/>
  <c r="AF202" i="3" s="1"/>
  <c r="AB203" i="3"/>
  <c r="AC203" i="3" s="1"/>
  <c r="AB204" i="3"/>
  <c r="AC204" i="3" s="1"/>
  <c r="AD204" i="3" s="1"/>
  <c r="AE204" i="3" s="1"/>
  <c r="AF204" i="3" s="1"/>
  <c r="AB205" i="3"/>
  <c r="AC205" i="3" s="1"/>
  <c r="AB206" i="3"/>
  <c r="AC206" i="3" s="1"/>
  <c r="AD206" i="3" s="1"/>
  <c r="AE206" i="3" s="1"/>
  <c r="AF206" i="3" s="1"/>
  <c r="AB207" i="3"/>
  <c r="AC207" i="3" s="1"/>
  <c r="AB208" i="3"/>
  <c r="AC208" i="3" s="1"/>
  <c r="AD208" i="3" s="1"/>
  <c r="AE208" i="3" s="1"/>
  <c r="AF208" i="3" s="1"/>
  <c r="AB209" i="3"/>
  <c r="AC209" i="3" s="1"/>
  <c r="AB210" i="3"/>
  <c r="AC210" i="3" s="1"/>
  <c r="AD210" i="3" s="1"/>
  <c r="AE210" i="3" s="1"/>
  <c r="AF210" i="3" s="1"/>
  <c r="AB211" i="3"/>
  <c r="AC211" i="3" s="1"/>
  <c r="AB212" i="3"/>
  <c r="AC212" i="3" s="1"/>
  <c r="AD212" i="3" s="1"/>
  <c r="AE212" i="3" s="1"/>
  <c r="AF212" i="3" s="1"/>
  <c r="AB213" i="3"/>
  <c r="AC213" i="3" s="1"/>
  <c r="AB84" i="3"/>
  <c r="AD84" i="3" s="1"/>
  <c r="M16" i="3"/>
  <c r="L16" i="3"/>
  <c r="K16" i="3"/>
  <c r="J16" i="3"/>
  <c r="I16" i="3"/>
  <c r="H16" i="3"/>
  <c r="M23" i="3"/>
  <c r="L23" i="3"/>
  <c r="I23" i="3"/>
  <c r="G23" i="3"/>
  <c r="D204" i="3" a="1"/>
  <c r="D204" i="3" s="1"/>
  <c r="D194" i="3" a="1"/>
  <c r="D194" i="3" s="1"/>
  <c r="D184" i="3" a="1"/>
  <c r="D184" i="3" s="1"/>
  <c r="D174" i="3" a="1"/>
  <c r="D174" i="3" s="1"/>
  <c r="D164" i="3" a="1"/>
  <c r="D164" i="3" s="1"/>
  <c r="D154" i="3" a="1"/>
  <c r="D154" i="3" s="1"/>
  <c r="D144" i="3" a="1"/>
  <c r="D144" i="3" s="1"/>
  <c r="D134" i="3" a="1"/>
  <c r="D134" i="3" s="1"/>
  <c r="D124" i="3" a="1"/>
  <c r="D124" i="3" s="1"/>
  <c r="D114" i="3" a="1"/>
  <c r="D114" i="3" s="1"/>
  <c r="D104" i="3" a="1"/>
  <c r="D104" i="3" s="1"/>
  <c r="D94" i="3" a="1"/>
  <c r="D94" i="3" s="1"/>
  <c r="D84" i="3" a="1"/>
  <c r="D84" i="3" s="1"/>
  <c r="C205" i="3"/>
  <c r="C206" i="3"/>
  <c r="C207" i="3"/>
  <c r="C208" i="3"/>
  <c r="E208" i="3" s="1"/>
  <c r="C209" i="3"/>
  <c r="E209" i="3" s="1"/>
  <c r="C210" i="3"/>
  <c r="C211" i="3"/>
  <c r="E211" i="3" s="1"/>
  <c r="C212" i="3"/>
  <c r="C213" i="3"/>
  <c r="C204" i="3"/>
  <c r="C195" i="3"/>
  <c r="C196" i="3"/>
  <c r="C197" i="3"/>
  <c r="C198" i="3"/>
  <c r="C199" i="3"/>
  <c r="C200" i="3"/>
  <c r="E200" i="3" s="1"/>
  <c r="C201" i="3"/>
  <c r="E201" i="3" s="1"/>
  <c r="C202" i="3"/>
  <c r="C203" i="3"/>
  <c r="C194" i="3"/>
  <c r="C185" i="3"/>
  <c r="E185" i="3" s="1"/>
  <c r="C186" i="3"/>
  <c r="E186" i="3" s="1"/>
  <c r="C187" i="3"/>
  <c r="E187" i="3" s="1"/>
  <c r="C188" i="3"/>
  <c r="E188" i="3" s="1"/>
  <c r="C189" i="3"/>
  <c r="E189" i="3" s="1"/>
  <c r="C190" i="3"/>
  <c r="E190" i="3" s="1"/>
  <c r="C191" i="3"/>
  <c r="E191" i="3" s="1"/>
  <c r="C192" i="3"/>
  <c r="E192" i="3" s="1"/>
  <c r="C193" i="3"/>
  <c r="E193" i="3" s="1"/>
  <c r="AN193" i="3" s="1"/>
  <c r="C184" i="3"/>
  <c r="E184" i="3" s="1"/>
  <c r="C183" i="3"/>
  <c r="E183" i="3" s="1"/>
  <c r="C176" i="3"/>
  <c r="E176" i="3" s="1"/>
  <c r="C177" i="3"/>
  <c r="C178" i="3"/>
  <c r="E178" i="3" s="1"/>
  <c r="C179" i="3"/>
  <c r="C180" i="3"/>
  <c r="E180" i="3" s="1"/>
  <c r="C181" i="3"/>
  <c r="E181" i="3" s="1"/>
  <c r="C182" i="3"/>
  <c r="C175" i="3"/>
  <c r="E175" i="3" s="1"/>
  <c r="C174" i="3"/>
  <c r="E174" i="3" s="1"/>
  <c r="C165" i="3"/>
  <c r="C166" i="3"/>
  <c r="C167" i="3"/>
  <c r="C168" i="3"/>
  <c r="C169" i="3"/>
  <c r="C170" i="3"/>
  <c r="C171" i="3"/>
  <c r="C172" i="3"/>
  <c r="C173" i="3"/>
  <c r="C164" i="3"/>
  <c r="C155" i="3"/>
  <c r="C156" i="3"/>
  <c r="C157" i="3"/>
  <c r="C158" i="3"/>
  <c r="C159" i="3"/>
  <c r="C160" i="3"/>
  <c r="C161" i="3"/>
  <c r="C162" i="3"/>
  <c r="C163" i="3"/>
  <c r="C154" i="3"/>
  <c r="C145" i="3"/>
  <c r="C146" i="3"/>
  <c r="C147" i="3"/>
  <c r="C148" i="3"/>
  <c r="C149" i="3"/>
  <c r="C150" i="3"/>
  <c r="C151" i="3"/>
  <c r="C152" i="3"/>
  <c r="C153" i="3"/>
  <c r="C144" i="3"/>
  <c r="C135" i="3"/>
  <c r="C136" i="3"/>
  <c r="C137" i="3"/>
  <c r="C138" i="3"/>
  <c r="C139" i="3"/>
  <c r="C140" i="3"/>
  <c r="C141" i="3"/>
  <c r="C142" i="3"/>
  <c r="C143" i="3"/>
  <c r="C134" i="3"/>
  <c r="C125" i="3"/>
  <c r="C126" i="3"/>
  <c r="C127" i="3"/>
  <c r="C128" i="3"/>
  <c r="C129" i="3"/>
  <c r="C130" i="3"/>
  <c r="C131" i="3"/>
  <c r="C132" i="3"/>
  <c r="C133" i="3"/>
  <c r="C124" i="3"/>
  <c r="C115" i="3"/>
  <c r="C116" i="3"/>
  <c r="C117" i="3"/>
  <c r="E117" i="3" s="1"/>
  <c r="C118" i="3"/>
  <c r="C119" i="3"/>
  <c r="C120" i="3"/>
  <c r="C121" i="3"/>
  <c r="C122" i="3"/>
  <c r="C123" i="3"/>
  <c r="C114" i="3"/>
  <c r="C105" i="3"/>
  <c r="E105" i="3" s="1"/>
  <c r="C106" i="3"/>
  <c r="C107" i="3"/>
  <c r="E107" i="3" s="1"/>
  <c r="C108" i="3"/>
  <c r="C109" i="3"/>
  <c r="C110" i="3"/>
  <c r="E110" i="3" s="1"/>
  <c r="C111" i="3"/>
  <c r="C112" i="3"/>
  <c r="C113" i="3"/>
  <c r="E113" i="3" s="1"/>
  <c r="C104" i="3"/>
  <c r="C95" i="3"/>
  <c r="E95" i="3" s="1"/>
  <c r="C96" i="3"/>
  <c r="E96" i="3" s="1"/>
  <c r="C97" i="3"/>
  <c r="E97" i="3" s="1"/>
  <c r="C98" i="3"/>
  <c r="C99" i="3"/>
  <c r="E99" i="3" s="1"/>
  <c r="C100" i="3"/>
  <c r="E100" i="3" s="1"/>
  <c r="C101" i="3"/>
  <c r="C102" i="3"/>
  <c r="E102" i="3" s="1"/>
  <c r="C103" i="3"/>
  <c r="E103" i="3" s="1"/>
  <c r="C94" i="3"/>
  <c r="C85" i="3"/>
  <c r="E85" i="3" s="1"/>
  <c r="C86" i="3"/>
  <c r="C87" i="3"/>
  <c r="C88" i="3"/>
  <c r="E88" i="3" s="1"/>
  <c r="C89" i="3"/>
  <c r="E89" i="3" s="1"/>
  <c r="C90" i="3"/>
  <c r="C91" i="3"/>
  <c r="E91" i="3" s="1"/>
  <c r="C92" i="3"/>
  <c r="E92" i="3" s="1"/>
  <c r="C93" i="3"/>
  <c r="C84" i="3"/>
  <c r="E84" i="3" s="1"/>
  <c r="F16" i="3"/>
  <c r="G16" i="3"/>
  <c r="E16" i="3"/>
  <c r="G45" i="3"/>
  <c r="G46" i="3" s="1"/>
  <c r="G52" i="3" s="1"/>
  <c r="G34" i="3"/>
  <c r="U85" i="3"/>
  <c r="V85" i="3" s="1"/>
  <c r="W85" i="3" s="1"/>
  <c r="X85" i="3" s="1"/>
  <c r="U86" i="3"/>
  <c r="V86" i="3" s="1"/>
  <c r="W86" i="3" s="1"/>
  <c r="X86" i="3" s="1"/>
  <c r="Y86" i="3" s="1"/>
  <c r="U87" i="3"/>
  <c r="V87" i="3" s="1"/>
  <c r="W87" i="3" s="1"/>
  <c r="X87" i="3" s="1"/>
  <c r="U88" i="3"/>
  <c r="V88" i="3" s="1"/>
  <c r="W88" i="3" s="1"/>
  <c r="X88" i="3" s="1"/>
  <c r="Y88" i="3" s="1"/>
  <c r="U89" i="3"/>
  <c r="V89" i="3" s="1"/>
  <c r="W89" i="3" s="1"/>
  <c r="X89" i="3" s="1"/>
  <c r="U90" i="3"/>
  <c r="V90" i="3" s="1"/>
  <c r="W90" i="3" s="1"/>
  <c r="X90" i="3" s="1"/>
  <c r="Y90" i="3" s="1"/>
  <c r="U91" i="3"/>
  <c r="V91" i="3" s="1"/>
  <c r="W91" i="3" s="1"/>
  <c r="X91" i="3" s="1"/>
  <c r="U92" i="3"/>
  <c r="V92" i="3" s="1"/>
  <c r="W92" i="3" s="1"/>
  <c r="X92" i="3" s="1"/>
  <c r="Y92" i="3" s="1"/>
  <c r="U93" i="3"/>
  <c r="V93" i="3" s="1"/>
  <c r="W93" i="3" s="1"/>
  <c r="X93" i="3" s="1"/>
  <c r="U94" i="3"/>
  <c r="V94" i="3" s="1"/>
  <c r="U95" i="3"/>
  <c r="V95" i="3" s="1"/>
  <c r="W95" i="3" s="1"/>
  <c r="X95" i="3" s="1"/>
  <c r="U96" i="3"/>
  <c r="V96" i="3" s="1"/>
  <c r="U97" i="3"/>
  <c r="V97" i="3" s="1"/>
  <c r="W97" i="3" s="1"/>
  <c r="X97" i="3" s="1"/>
  <c r="Y97" i="3" s="1"/>
  <c r="U98" i="3"/>
  <c r="V98" i="3" s="1"/>
  <c r="U99" i="3"/>
  <c r="V99" i="3" s="1"/>
  <c r="W99" i="3" s="1"/>
  <c r="X99" i="3" s="1"/>
  <c r="Y99" i="3" s="1"/>
  <c r="U100" i="3"/>
  <c r="V100" i="3" s="1"/>
  <c r="U101" i="3"/>
  <c r="V101" i="3" s="1"/>
  <c r="U102" i="3"/>
  <c r="V102" i="3" s="1"/>
  <c r="W102" i="3" s="1"/>
  <c r="X102" i="3" s="1"/>
  <c r="Y102" i="3" s="1"/>
  <c r="U103" i="3"/>
  <c r="V103" i="3" s="1"/>
  <c r="W103" i="3" s="1"/>
  <c r="X103" i="3" s="1"/>
  <c r="Y103" i="3" s="1"/>
  <c r="U104" i="3"/>
  <c r="V104" i="3" s="1"/>
  <c r="W104" i="3" s="1"/>
  <c r="X104" i="3" s="1"/>
  <c r="Y104" i="3" s="1"/>
  <c r="U105" i="3"/>
  <c r="V105" i="3" s="1"/>
  <c r="U106" i="3"/>
  <c r="V106" i="3" s="1"/>
  <c r="W106" i="3" s="1"/>
  <c r="X106" i="3" s="1"/>
  <c r="Y106" i="3" s="1"/>
  <c r="U107" i="3"/>
  <c r="V107" i="3" s="1"/>
  <c r="W107" i="3" s="1"/>
  <c r="X107" i="3" s="1"/>
  <c r="U108" i="3"/>
  <c r="V108" i="3" s="1"/>
  <c r="W108" i="3" s="1"/>
  <c r="X108" i="3" s="1"/>
  <c r="Y108" i="3" s="1"/>
  <c r="U109" i="3"/>
  <c r="V109" i="3" s="1"/>
  <c r="W109" i="3" s="1"/>
  <c r="X109" i="3" s="1"/>
  <c r="U110" i="3"/>
  <c r="V110" i="3" s="1"/>
  <c r="W110" i="3" s="1"/>
  <c r="X110" i="3" s="1"/>
  <c r="Y110" i="3" s="1"/>
  <c r="U111" i="3"/>
  <c r="V111" i="3" s="1"/>
  <c r="W111" i="3" s="1"/>
  <c r="X111" i="3" s="1"/>
  <c r="U112" i="3"/>
  <c r="V112" i="3" s="1"/>
  <c r="W112" i="3" s="1"/>
  <c r="X112" i="3" s="1"/>
  <c r="Y112" i="3" s="1"/>
  <c r="U113" i="3"/>
  <c r="V113" i="3" s="1"/>
  <c r="W113" i="3" s="1"/>
  <c r="X113" i="3" s="1"/>
  <c r="U114" i="3"/>
  <c r="V114" i="3" s="1"/>
  <c r="W114" i="3" s="1"/>
  <c r="X114" i="3" s="1"/>
  <c r="Y114" i="3" s="1"/>
  <c r="U115" i="3"/>
  <c r="V115" i="3" s="1"/>
  <c r="W115" i="3" s="1"/>
  <c r="X115" i="3" s="1"/>
  <c r="U116" i="3"/>
  <c r="V116" i="3" s="1"/>
  <c r="W116" i="3" s="1"/>
  <c r="X116" i="3" s="1"/>
  <c r="Y116" i="3" s="1"/>
  <c r="U117" i="3"/>
  <c r="V117" i="3" s="1"/>
  <c r="W117" i="3" s="1"/>
  <c r="X117" i="3" s="1"/>
  <c r="U118" i="3"/>
  <c r="V118" i="3" s="1"/>
  <c r="U119" i="3"/>
  <c r="V119" i="3" s="1"/>
  <c r="W119" i="3" s="1"/>
  <c r="X119" i="3" s="1"/>
  <c r="U120" i="3"/>
  <c r="V120" i="3" s="1"/>
  <c r="U121" i="3"/>
  <c r="V121" i="3" s="1"/>
  <c r="W121" i="3" s="1"/>
  <c r="X121" i="3" s="1"/>
  <c r="Y121" i="3" s="1"/>
  <c r="U122" i="3"/>
  <c r="V122" i="3" s="1"/>
  <c r="U123" i="3"/>
  <c r="V123" i="3" s="1"/>
  <c r="W123" i="3" s="1"/>
  <c r="X123" i="3" s="1"/>
  <c r="Y123" i="3" s="1"/>
  <c r="U124" i="3"/>
  <c r="V124" i="3" s="1"/>
  <c r="U125" i="3"/>
  <c r="V125" i="3" s="1"/>
  <c r="U126" i="3"/>
  <c r="V126" i="3" s="1"/>
  <c r="U127" i="3"/>
  <c r="V127" i="3" s="1"/>
  <c r="W127" i="3" s="1"/>
  <c r="X127" i="3" s="1"/>
  <c r="Y127" i="3" s="1"/>
  <c r="U128" i="3"/>
  <c r="V128" i="3" s="1"/>
  <c r="W128" i="3" s="1"/>
  <c r="X128" i="3" s="1"/>
  <c r="Y128" i="3" s="1"/>
  <c r="U129" i="3"/>
  <c r="V129" i="3" s="1"/>
  <c r="U130" i="3"/>
  <c r="V130" i="3" s="1"/>
  <c r="W130" i="3" s="1"/>
  <c r="X130" i="3" s="1"/>
  <c r="Y130" i="3" s="1"/>
  <c r="U131" i="3"/>
  <c r="V131" i="3" s="1"/>
  <c r="W131" i="3" s="1"/>
  <c r="X131" i="3" s="1"/>
  <c r="Y131" i="3" s="1"/>
  <c r="U132" i="3"/>
  <c r="V132" i="3" s="1"/>
  <c r="W132" i="3" s="1"/>
  <c r="X132" i="3" s="1"/>
  <c r="Y132" i="3" s="1"/>
  <c r="U133" i="3"/>
  <c r="V133" i="3" s="1"/>
  <c r="W133" i="3" s="1"/>
  <c r="X133" i="3" s="1"/>
  <c r="U134" i="3"/>
  <c r="V134" i="3" s="1"/>
  <c r="W134" i="3" s="1"/>
  <c r="X134" i="3" s="1"/>
  <c r="Y134" i="3" s="1"/>
  <c r="U135" i="3"/>
  <c r="V135" i="3" s="1"/>
  <c r="W135" i="3" s="1"/>
  <c r="X135" i="3" s="1"/>
  <c r="U136" i="3"/>
  <c r="V136" i="3" s="1"/>
  <c r="W136" i="3" s="1"/>
  <c r="X136" i="3" s="1"/>
  <c r="Y136" i="3" s="1"/>
  <c r="U137" i="3"/>
  <c r="V137" i="3" s="1"/>
  <c r="W137" i="3" s="1"/>
  <c r="U138" i="3"/>
  <c r="V138" i="3" s="1"/>
  <c r="W138" i="3" s="1"/>
  <c r="X138" i="3" s="1"/>
  <c r="Y138" i="3" s="1"/>
  <c r="U139" i="3"/>
  <c r="V139" i="3" s="1"/>
  <c r="W139" i="3" s="1"/>
  <c r="U140" i="3"/>
  <c r="V140" i="3" s="1"/>
  <c r="U141" i="3"/>
  <c r="V141" i="3" s="1"/>
  <c r="W141" i="3" s="1"/>
  <c r="U142" i="3"/>
  <c r="V142" i="3" s="1"/>
  <c r="W142" i="3" s="1"/>
  <c r="X142" i="3" s="1"/>
  <c r="Y142" i="3" s="1"/>
  <c r="U143" i="3"/>
  <c r="V143" i="3" s="1"/>
  <c r="W143" i="3" s="1"/>
  <c r="U144" i="3"/>
  <c r="V144" i="3" s="1"/>
  <c r="W144" i="3" s="1"/>
  <c r="X144" i="3" s="1"/>
  <c r="Y144" i="3" s="1"/>
  <c r="U145" i="3"/>
  <c r="V145" i="3" s="1"/>
  <c r="W145" i="3" s="1"/>
  <c r="U146" i="3"/>
  <c r="V146" i="3" s="1"/>
  <c r="U147" i="3"/>
  <c r="V147" i="3" s="1"/>
  <c r="W147" i="3" s="1"/>
  <c r="U148" i="3"/>
  <c r="V148" i="3" s="1"/>
  <c r="W148" i="3" s="1"/>
  <c r="X148" i="3" s="1"/>
  <c r="Y148" i="3" s="1"/>
  <c r="U149" i="3"/>
  <c r="V149" i="3" s="1"/>
  <c r="W149" i="3" s="1"/>
  <c r="U150" i="3"/>
  <c r="V150" i="3" s="1"/>
  <c r="W150" i="3" s="1"/>
  <c r="X150" i="3" s="1"/>
  <c r="Y150" i="3" s="1"/>
  <c r="U151" i="3"/>
  <c r="V151" i="3" s="1"/>
  <c r="W151" i="3" s="1"/>
  <c r="U152" i="3"/>
  <c r="V152" i="3" s="1"/>
  <c r="U153" i="3"/>
  <c r="V153" i="3" s="1"/>
  <c r="W153" i="3" s="1"/>
  <c r="U154" i="3"/>
  <c r="V154" i="3" s="1"/>
  <c r="W154" i="3" s="1"/>
  <c r="X154" i="3" s="1"/>
  <c r="Y154" i="3" s="1"/>
  <c r="U155" i="3"/>
  <c r="V155" i="3" s="1"/>
  <c r="W155" i="3" s="1"/>
  <c r="U156" i="3"/>
  <c r="V156" i="3" s="1"/>
  <c r="W156" i="3" s="1"/>
  <c r="X156" i="3" s="1"/>
  <c r="Y156" i="3" s="1"/>
  <c r="U157" i="3"/>
  <c r="V157" i="3" s="1"/>
  <c r="W157" i="3" s="1"/>
  <c r="U158" i="3"/>
  <c r="V158" i="3" s="1"/>
  <c r="U159" i="3"/>
  <c r="V159" i="3" s="1"/>
  <c r="W159" i="3" s="1"/>
  <c r="U160" i="3"/>
  <c r="V160" i="3" s="1"/>
  <c r="W160" i="3" s="1"/>
  <c r="X160" i="3" s="1"/>
  <c r="Y160" i="3" s="1"/>
  <c r="U161" i="3"/>
  <c r="V161" i="3" s="1"/>
  <c r="W161" i="3" s="1"/>
  <c r="U162" i="3"/>
  <c r="V162" i="3" s="1"/>
  <c r="W162" i="3" s="1"/>
  <c r="X162" i="3" s="1"/>
  <c r="Y162" i="3" s="1"/>
  <c r="U163" i="3"/>
  <c r="V163" i="3" s="1"/>
  <c r="W163" i="3" s="1"/>
  <c r="U164" i="3"/>
  <c r="V164" i="3" s="1"/>
  <c r="U165" i="3"/>
  <c r="V165" i="3" s="1"/>
  <c r="W165" i="3" s="1"/>
  <c r="U166" i="3"/>
  <c r="V166" i="3" s="1"/>
  <c r="W166" i="3" s="1"/>
  <c r="X166" i="3" s="1"/>
  <c r="Y166" i="3" s="1"/>
  <c r="U167" i="3"/>
  <c r="V167" i="3" s="1"/>
  <c r="W167" i="3" s="1"/>
  <c r="U168" i="3"/>
  <c r="V168" i="3" s="1"/>
  <c r="W168" i="3" s="1"/>
  <c r="X168" i="3" s="1"/>
  <c r="Y168" i="3" s="1"/>
  <c r="U169" i="3"/>
  <c r="V169" i="3" s="1"/>
  <c r="W169" i="3" s="1"/>
  <c r="U170" i="3"/>
  <c r="V170" i="3" s="1"/>
  <c r="U171" i="3"/>
  <c r="V171" i="3" s="1"/>
  <c r="W171" i="3" s="1"/>
  <c r="U172" i="3"/>
  <c r="V172" i="3" s="1"/>
  <c r="W172" i="3" s="1"/>
  <c r="X172" i="3" s="1"/>
  <c r="Y172" i="3" s="1"/>
  <c r="U173" i="3"/>
  <c r="V173" i="3" s="1"/>
  <c r="W173" i="3" s="1"/>
  <c r="U174" i="3"/>
  <c r="V174" i="3" s="1"/>
  <c r="W174" i="3" s="1"/>
  <c r="X174" i="3" s="1"/>
  <c r="Y174" i="3" s="1"/>
  <c r="U175" i="3"/>
  <c r="V175" i="3" s="1"/>
  <c r="W175" i="3" s="1"/>
  <c r="U176" i="3"/>
  <c r="V176" i="3" s="1"/>
  <c r="U177" i="3"/>
  <c r="V177" i="3" s="1"/>
  <c r="W177" i="3" s="1"/>
  <c r="U178" i="3"/>
  <c r="V178" i="3" s="1"/>
  <c r="W178" i="3" s="1"/>
  <c r="X178" i="3" s="1"/>
  <c r="Y178" i="3" s="1"/>
  <c r="U179" i="3"/>
  <c r="V179" i="3" s="1"/>
  <c r="W179" i="3" s="1"/>
  <c r="U180" i="3"/>
  <c r="V180" i="3" s="1"/>
  <c r="W180" i="3" s="1"/>
  <c r="X180" i="3" s="1"/>
  <c r="Y180" i="3" s="1"/>
  <c r="U181" i="3"/>
  <c r="V181" i="3" s="1"/>
  <c r="W181" i="3" s="1"/>
  <c r="U182" i="3"/>
  <c r="V182" i="3" s="1"/>
  <c r="U183" i="3"/>
  <c r="V183" i="3" s="1"/>
  <c r="W183" i="3" s="1"/>
  <c r="U184" i="3"/>
  <c r="V184" i="3" s="1"/>
  <c r="W184" i="3" s="1"/>
  <c r="X184" i="3" s="1"/>
  <c r="Y184" i="3" s="1"/>
  <c r="U185" i="3"/>
  <c r="V185" i="3" s="1"/>
  <c r="W185" i="3" s="1"/>
  <c r="U186" i="3"/>
  <c r="V186" i="3" s="1"/>
  <c r="W186" i="3" s="1"/>
  <c r="X186" i="3" s="1"/>
  <c r="Y186" i="3" s="1"/>
  <c r="U187" i="3"/>
  <c r="V187" i="3" s="1"/>
  <c r="W187" i="3" s="1"/>
  <c r="U188" i="3"/>
  <c r="V188" i="3" s="1"/>
  <c r="U189" i="3"/>
  <c r="V189" i="3" s="1"/>
  <c r="W189" i="3" s="1"/>
  <c r="U190" i="3"/>
  <c r="V190" i="3" s="1"/>
  <c r="W190" i="3" s="1"/>
  <c r="X190" i="3" s="1"/>
  <c r="Y190" i="3" s="1"/>
  <c r="U191" i="3"/>
  <c r="V191" i="3" s="1"/>
  <c r="W191" i="3" s="1"/>
  <c r="U192" i="3"/>
  <c r="V192" i="3" s="1"/>
  <c r="W192" i="3" s="1"/>
  <c r="X192" i="3" s="1"/>
  <c r="Y192" i="3" s="1"/>
  <c r="U193" i="3"/>
  <c r="V193" i="3" s="1"/>
  <c r="W193" i="3" s="1"/>
  <c r="U194" i="3"/>
  <c r="V194" i="3" s="1"/>
  <c r="U195" i="3"/>
  <c r="V195" i="3" s="1"/>
  <c r="W195" i="3" s="1"/>
  <c r="U196" i="3"/>
  <c r="V196" i="3" s="1"/>
  <c r="W196" i="3" s="1"/>
  <c r="X196" i="3" s="1"/>
  <c r="Y196" i="3" s="1"/>
  <c r="U197" i="3"/>
  <c r="V197" i="3" s="1"/>
  <c r="W197" i="3" s="1"/>
  <c r="U198" i="3"/>
  <c r="V198" i="3" s="1"/>
  <c r="W198" i="3" s="1"/>
  <c r="X198" i="3" s="1"/>
  <c r="Y198" i="3" s="1"/>
  <c r="U199" i="3"/>
  <c r="V199" i="3" s="1"/>
  <c r="W199" i="3" s="1"/>
  <c r="U200" i="3"/>
  <c r="V200" i="3" s="1"/>
  <c r="U201" i="3"/>
  <c r="V201" i="3" s="1"/>
  <c r="W201" i="3" s="1"/>
  <c r="U202" i="3"/>
  <c r="V202" i="3" s="1"/>
  <c r="W202" i="3" s="1"/>
  <c r="X202" i="3" s="1"/>
  <c r="Y202" i="3" s="1"/>
  <c r="U203" i="3"/>
  <c r="V203" i="3" s="1"/>
  <c r="W203" i="3" s="1"/>
  <c r="U204" i="3"/>
  <c r="V204" i="3" s="1"/>
  <c r="W204" i="3" s="1"/>
  <c r="X204" i="3" s="1"/>
  <c r="Y204" i="3" s="1"/>
  <c r="U205" i="3"/>
  <c r="V205" i="3" s="1"/>
  <c r="W205" i="3" s="1"/>
  <c r="U206" i="3"/>
  <c r="V206" i="3" s="1"/>
  <c r="W206" i="3" s="1"/>
  <c r="X206" i="3" s="1"/>
  <c r="Y206" i="3" s="1"/>
  <c r="U207" i="3"/>
  <c r="V207" i="3" s="1"/>
  <c r="W207" i="3" s="1"/>
  <c r="U208" i="3"/>
  <c r="V208" i="3" s="1"/>
  <c r="W208" i="3" s="1"/>
  <c r="X208" i="3" s="1"/>
  <c r="Y208" i="3" s="1"/>
  <c r="U209" i="3"/>
  <c r="V209" i="3" s="1"/>
  <c r="W209" i="3" s="1"/>
  <c r="U210" i="3"/>
  <c r="V210" i="3" s="1"/>
  <c r="W210" i="3" s="1"/>
  <c r="X210" i="3" s="1"/>
  <c r="Y210" i="3" s="1"/>
  <c r="U211" i="3"/>
  <c r="V211" i="3" s="1"/>
  <c r="W211" i="3" s="1"/>
  <c r="U212" i="3"/>
  <c r="V212" i="3" s="1"/>
  <c r="W212" i="3" s="1"/>
  <c r="X212" i="3" s="1"/>
  <c r="Y212" i="3" s="1"/>
  <c r="U213" i="3"/>
  <c r="V213" i="3" s="1"/>
  <c r="W213" i="3" s="1"/>
  <c r="U84" i="3"/>
  <c r="V84" i="3" s="1"/>
  <c r="W84" i="3" s="1"/>
  <c r="X84" i="3" s="1"/>
  <c r="Y84" i="3" s="1"/>
  <c r="F45" i="3"/>
  <c r="F46" i="3" s="1"/>
  <c r="F52" i="3" s="1"/>
  <c r="F34" i="3"/>
  <c r="F23" i="3"/>
  <c r="N84" i="3"/>
  <c r="O84" i="3" s="1"/>
  <c r="P84" i="3" s="1"/>
  <c r="Q84" i="3" s="1"/>
  <c r="G84" i="3"/>
  <c r="H84" i="3" s="1"/>
  <c r="E45" i="3"/>
  <c r="E46" i="3" s="1"/>
  <c r="E52" i="3" s="1"/>
  <c r="H23" i="3"/>
  <c r="BB200" i="3" l="1"/>
  <c r="AN92" i="3"/>
  <c r="BI208" i="3"/>
  <c r="AU200" i="3"/>
  <c r="BI176" i="3"/>
  <c r="AU208" i="3"/>
  <c r="AN208" i="3"/>
  <c r="BP193" i="3"/>
  <c r="AN100" i="3"/>
  <c r="BI201" i="3"/>
  <c r="BP187" i="3"/>
  <c r="BB201" i="3"/>
  <c r="AU95" i="3"/>
  <c r="AU89" i="3"/>
  <c r="BI209" i="3"/>
  <c r="BB191" i="3"/>
  <c r="BB187" i="3"/>
  <c r="AU209" i="3"/>
  <c r="AN191" i="3"/>
  <c r="BM202" i="3"/>
  <c r="BN202" i="3" s="1"/>
  <c r="BO202" i="3" s="1"/>
  <c r="BO173" i="3"/>
  <c r="BH107" i="3"/>
  <c r="BI107" i="3" s="1"/>
  <c r="AR192" i="3"/>
  <c r="AS192" i="3" s="1"/>
  <c r="AT192" i="3" s="1"/>
  <c r="AU192" i="3" s="1"/>
  <c r="AR205" i="3"/>
  <c r="AS205" i="3" s="1"/>
  <c r="AT205" i="3" s="1"/>
  <c r="BA154" i="3"/>
  <c r="BA121" i="3"/>
  <c r="BA173" i="3"/>
  <c r="AK202" i="3"/>
  <c r="AL202" i="3" s="1"/>
  <c r="AM202" i="3" s="1"/>
  <c r="P120" i="3"/>
  <c r="Q120" i="3" s="1"/>
  <c r="R120" i="3" s="1"/>
  <c r="P95" i="3"/>
  <c r="Q95" i="3" s="1"/>
  <c r="R95" i="3" s="1"/>
  <c r="S95" i="3" s="1"/>
  <c r="P208" i="3"/>
  <c r="Q208" i="3" s="1"/>
  <c r="R208" i="3" s="1"/>
  <c r="S208" i="3" s="1"/>
  <c r="P200" i="3"/>
  <c r="Q200" i="3" s="1"/>
  <c r="R200" i="3" s="1"/>
  <c r="S200" i="3" s="1"/>
  <c r="P190" i="3"/>
  <c r="Q190" i="3" s="1"/>
  <c r="R190" i="3" s="1"/>
  <c r="S190" i="3" s="1"/>
  <c r="P178" i="3"/>
  <c r="Q178" i="3" s="1"/>
  <c r="R178" i="3" s="1"/>
  <c r="S178" i="3" s="1"/>
  <c r="P166" i="3"/>
  <c r="Q166" i="3" s="1"/>
  <c r="R166" i="3" s="1"/>
  <c r="P154" i="3"/>
  <c r="Q154" i="3" s="1"/>
  <c r="R154" i="3" s="1"/>
  <c r="S154" i="3" s="1"/>
  <c r="P142" i="3"/>
  <c r="Q142" i="3" s="1"/>
  <c r="R142" i="3" s="1"/>
  <c r="P130" i="3"/>
  <c r="Q130" i="3" s="1"/>
  <c r="R130" i="3" s="1"/>
  <c r="P118" i="3"/>
  <c r="Q118" i="3" s="1"/>
  <c r="R118" i="3"/>
  <c r="P106" i="3"/>
  <c r="Q106" i="3" s="1"/>
  <c r="R106" i="3" s="1"/>
  <c r="P94" i="3"/>
  <c r="Q94" i="3" s="1"/>
  <c r="R94" i="3" s="1"/>
  <c r="P108" i="3"/>
  <c r="Q108" i="3" s="1"/>
  <c r="R108" i="3" s="1"/>
  <c r="P207" i="3"/>
  <c r="Q207" i="3" s="1"/>
  <c r="R207" i="3" s="1"/>
  <c r="P199" i="3"/>
  <c r="Q199" i="3" s="1"/>
  <c r="R199" i="3" s="1"/>
  <c r="S199" i="3" s="1"/>
  <c r="P189" i="3"/>
  <c r="Q189" i="3" s="1"/>
  <c r="R189" i="3" s="1"/>
  <c r="S189" i="3" s="1"/>
  <c r="P177" i="3"/>
  <c r="Q177" i="3" s="1"/>
  <c r="R177" i="3"/>
  <c r="P165" i="3"/>
  <c r="Q165" i="3" s="1"/>
  <c r="R165" i="3" s="1"/>
  <c r="P153" i="3"/>
  <c r="Q153" i="3" s="1"/>
  <c r="R153" i="3" s="1"/>
  <c r="P141" i="3"/>
  <c r="Q141" i="3" s="1"/>
  <c r="R141" i="3" s="1"/>
  <c r="P129" i="3"/>
  <c r="Q129" i="3" s="1"/>
  <c r="R129" i="3" s="1"/>
  <c r="S129" i="3" s="1"/>
  <c r="P117" i="3"/>
  <c r="Q117" i="3" s="1"/>
  <c r="R117" i="3" s="1"/>
  <c r="S117" i="3" s="1"/>
  <c r="P105" i="3"/>
  <c r="Q105" i="3" s="1"/>
  <c r="R105" i="3"/>
  <c r="S105" i="3" s="1"/>
  <c r="P93" i="3"/>
  <c r="Q93" i="3" s="1"/>
  <c r="R93" i="3" s="1"/>
  <c r="S93" i="3" s="1"/>
  <c r="P96" i="3"/>
  <c r="Q96" i="3" s="1"/>
  <c r="R96" i="3" s="1"/>
  <c r="S96" i="3" s="1"/>
  <c r="P107" i="3"/>
  <c r="Q107" i="3" s="1"/>
  <c r="R107" i="3" s="1"/>
  <c r="S107" i="3" s="1"/>
  <c r="P188" i="3"/>
  <c r="Q188" i="3" s="1"/>
  <c r="R188" i="3" s="1"/>
  <c r="S188" i="3" s="1"/>
  <c r="P176" i="3"/>
  <c r="Q176" i="3" s="1"/>
  <c r="R176" i="3" s="1"/>
  <c r="S176" i="3" s="1"/>
  <c r="P164" i="3"/>
  <c r="Q164" i="3" s="1"/>
  <c r="R164" i="3" s="1"/>
  <c r="P152" i="3"/>
  <c r="Q152" i="3" s="1"/>
  <c r="R152" i="3" s="1"/>
  <c r="P140" i="3"/>
  <c r="Q140" i="3" s="1"/>
  <c r="R140" i="3" s="1"/>
  <c r="P128" i="3"/>
  <c r="Q128" i="3" s="1"/>
  <c r="R128" i="3" s="1"/>
  <c r="S128" i="3" s="1"/>
  <c r="P116" i="3"/>
  <c r="Q116" i="3" s="1"/>
  <c r="R116" i="3" s="1"/>
  <c r="S116" i="3" s="1"/>
  <c r="P104" i="3"/>
  <c r="Q104" i="3" s="1"/>
  <c r="R104" i="3" s="1"/>
  <c r="P92" i="3"/>
  <c r="Q92" i="3" s="1"/>
  <c r="R92" i="3" s="1"/>
  <c r="S92" i="3" s="1"/>
  <c r="P209" i="3"/>
  <c r="Q209" i="3" s="1"/>
  <c r="R209" i="3" s="1"/>
  <c r="S209" i="3" s="1"/>
  <c r="P132" i="3"/>
  <c r="Q132" i="3" s="1"/>
  <c r="R132" i="3" s="1"/>
  <c r="P191" i="3"/>
  <c r="Q191" i="3" s="1"/>
  <c r="R191" i="3" s="1"/>
  <c r="S191" i="3" s="1"/>
  <c r="P206" i="3"/>
  <c r="Q206" i="3" s="1"/>
  <c r="R206" i="3" s="1"/>
  <c r="P198" i="3"/>
  <c r="Q198" i="3" s="1"/>
  <c r="R198" i="3" s="1"/>
  <c r="P187" i="3"/>
  <c r="Q187" i="3" s="1"/>
  <c r="R187" i="3"/>
  <c r="S187" i="3" s="1"/>
  <c r="P175" i="3"/>
  <c r="Q175" i="3" s="1"/>
  <c r="R175" i="3"/>
  <c r="S175" i="3" s="1"/>
  <c r="P163" i="3"/>
  <c r="Q163" i="3" s="1"/>
  <c r="R163" i="3" s="1"/>
  <c r="P151" i="3"/>
  <c r="Q151" i="3" s="1"/>
  <c r="R151" i="3" s="1"/>
  <c r="P139" i="3"/>
  <c r="Q139" i="3" s="1"/>
  <c r="R139" i="3" s="1"/>
  <c r="S139" i="3" s="1"/>
  <c r="P127" i="3"/>
  <c r="Q127" i="3" s="1"/>
  <c r="R127" i="3" s="1"/>
  <c r="S127" i="3" s="1"/>
  <c r="P115" i="3"/>
  <c r="Q115" i="3" s="1"/>
  <c r="R115" i="3" s="1"/>
  <c r="P103" i="3"/>
  <c r="Q103" i="3" s="1"/>
  <c r="R103" i="3" s="1"/>
  <c r="S103" i="3" s="1"/>
  <c r="P91" i="3"/>
  <c r="Q91" i="3" s="1"/>
  <c r="R91" i="3" s="1"/>
  <c r="S91" i="3" s="1"/>
  <c r="P192" i="3"/>
  <c r="Q192" i="3" s="1"/>
  <c r="R192" i="3" s="1"/>
  <c r="S192" i="3" s="1"/>
  <c r="P179" i="3"/>
  <c r="Q179" i="3" s="1"/>
  <c r="R179" i="3" s="1"/>
  <c r="S179" i="3" s="1"/>
  <c r="P213" i="3"/>
  <c r="Q213" i="3" s="1"/>
  <c r="R213" i="3" s="1"/>
  <c r="P205" i="3"/>
  <c r="Q205" i="3" s="1"/>
  <c r="R205" i="3" s="1"/>
  <c r="S205" i="3" s="1"/>
  <c r="P197" i="3"/>
  <c r="Q197" i="3" s="1"/>
  <c r="R197" i="3" s="1"/>
  <c r="P186" i="3"/>
  <c r="Q186" i="3" s="1"/>
  <c r="R186" i="3" s="1"/>
  <c r="S186" i="3" s="1"/>
  <c r="P174" i="3"/>
  <c r="Q174" i="3" s="1"/>
  <c r="R174" i="3" s="1"/>
  <c r="S174" i="3" s="1"/>
  <c r="P162" i="3"/>
  <c r="Q162" i="3" s="1"/>
  <c r="R162" i="3" s="1"/>
  <c r="P150" i="3"/>
  <c r="Q150" i="3" s="1"/>
  <c r="R150" i="3" s="1"/>
  <c r="P138" i="3"/>
  <c r="Q138" i="3" s="1"/>
  <c r="R138" i="3" s="1"/>
  <c r="P126" i="3"/>
  <c r="Q126" i="3" s="1"/>
  <c r="R126" i="3" s="1"/>
  <c r="P114" i="3"/>
  <c r="Q114" i="3" s="1"/>
  <c r="R114" i="3" s="1"/>
  <c r="S114" i="3" s="1"/>
  <c r="R102" i="3"/>
  <c r="S102" i="3" s="1"/>
  <c r="P102" i="3"/>
  <c r="Q102" i="3" s="1"/>
  <c r="P90" i="3"/>
  <c r="Q90" i="3" s="1"/>
  <c r="R90" i="3" s="1"/>
  <c r="P168" i="3"/>
  <c r="Q168" i="3" s="1"/>
  <c r="R168" i="3" s="1"/>
  <c r="P119" i="3"/>
  <c r="Q119" i="3" s="1"/>
  <c r="R119" i="3"/>
  <c r="P196" i="3"/>
  <c r="Q196" i="3" s="1"/>
  <c r="R196" i="3" s="1"/>
  <c r="S196" i="3" s="1"/>
  <c r="P185" i="3"/>
  <c r="Q185" i="3" s="1"/>
  <c r="R185" i="3" s="1"/>
  <c r="S185" i="3" s="1"/>
  <c r="P173" i="3"/>
  <c r="Q173" i="3" s="1"/>
  <c r="R173" i="3" s="1"/>
  <c r="P161" i="3"/>
  <c r="Q161" i="3" s="1"/>
  <c r="R161" i="3" s="1"/>
  <c r="P149" i="3"/>
  <c r="Q149" i="3" s="1"/>
  <c r="R149" i="3"/>
  <c r="S149" i="3" s="1"/>
  <c r="P137" i="3"/>
  <c r="Q137" i="3" s="1"/>
  <c r="R137" i="3" s="1"/>
  <c r="P125" i="3"/>
  <c r="Q125" i="3" s="1"/>
  <c r="R125" i="3" s="1"/>
  <c r="S125" i="3" s="1"/>
  <c r="P113" i="3"/>
  <c r="Q113" i="3" s="1"/>
  <c r="R113" i="3" s="1"/>
  <c r="S113" i="3" s="1"/>
  <c r="P101" i="3"/>
  <c r="Q101" i="3" s="1"/>
  <c r="R101" i="3" s="1"/>
  <c r="P89" i="3"/>
  <c r="Q89" i="3" s="1"/>
  <c r="R89" i="3" s="1"/>
  <c r="S89" i="3" s="1"/>
  <c r="P201" i="3"/>
  <c r="Q201" i="3" s="1"/>
  <c r="R201" i="3" s="1"/>
  <c r="S201" i="3" s="1"/>
  <c r="P143" i="3"/>
  <c r="Q143" i="3" s="1"/>
  <c r="R143" i="3"/>
  <c r="P212" i="3"/>
  <c r="Q212" i="3" s="1"/>
  <c r="R212" i="3" s="1"/>
  <c r="S212" i="3" s="1"/>
  <c r="P204" i="3"/>
  <c r="Q204" i="3" s="1"/>
  <c r="R204" i="3" s="1"/>
  <c r="S204" i="3" s="1"/>
  <c r="P195" i="3"/>
  <c r="Q195" i="3" s="1"/>
  <c r="R195" i="3" s="1"/>
  <c r="P184" i="3"/>
  <c r="Q184" i="3" s="1"/>
  <c r="R184" i="3" s="1"/>
  <c r="S184" i="3" s="1"/>
  <c r="P172" i="3"/>
  <c r="Q172" i="3" s="1"/>
  <c r="R172" i="3" s="1"/>
  <c r="P160" i="3"/>
  <c r="Q160" i="3" s="1"/>
  <c r="R160" i="3"/>
  <c r="P148" i="3"/>
  <c r="Q148" i="3" s="1"/>
  <c r="R148" i="3" s="1"/>
  <c r="P136" i="3"/>
  <c r="Q136" i="3" s="1"/>
  <c r="R136" i="3" s="1"/>
  <c r="P124" i="3"/>
  <c r="Q124" i="3" s="1"/>
  <c r="R124" i="3" s="1"/>
  <c r="P112" i="3"/>
  <c r="Q112" i="3" s="1"/>
  <c r="R112" i="3"/>
  <c r="P100" i="3"/>
  <c r="Q100" i="3" s="1"/>
  <c r="R100" i="3" s="1"/>
  <c r="S100" i="3" s="1"/>
  <c r="P88" i="3"/>
  <c r="Q88" i="3" s="1"/>
  <c r="R88" i="3" s="1"/>
  <c r="S88" i="3" s="1"/>
  <c r="P156" i="3"/>
  <c r="Q156" i="3" s="1"/>
  <c r="R156" i="3" s="1"/>
  <c r="P155" i="3"/>
  <c r="Q155" i="3" s="1"/>
  <c r="R155" i="3" s="1"/>
  <c r="P211" i="3"/>
  <c r="Q211" i="3" s="1"/>
  <c r="R211" i="3" s="1"/>
  <c r="S211" i="3" s="1"/>
  <c r="P203" i="3"/>
  <c r="Q203" i="3" s="1"/>
  <c r="R203" i="3" s="1"/>
  <c r="P183" i="3"/>
  <c r="Q183" i="3" s="1"/>
  <c r="R183" i="3"/>
  <c r="S183" i="3" s="1"/>
  <c r="P171" i="3"/>
  <c r="Q171" i="3" s="1"/>
  <c r="R171" i="3"/>
  <c r="P159" i="3"/>
  <c r="Q159" i="3" s="1"/>
  <c r="R159" i="3" s="1"/>
  <c r="P147" i="3"/>
  <c r="Q147" i="3" s="1"/>
  <c r="R147" i="3" s="1"/>
  <c r="P135" i="3"/>
  <c r="Q135" i="3" s="1"/>
  <c r="R135" i="3" s="1"/>
  <c r="S135" i="3" s="1"/>
  <c r="P123" i="3"/>
  <c r="Q123" i="3" s="1"/>
  <c r="R123" i="3" s="1"/>
  <c r="S123" i="3" s="1"/>
  <c r="P111" i="3"/>
  <c r="Q111" i="3" s="1"/>
  <c r="R111" i="3" s="1"/>
  <c r="P99" i="3"/>
  <c r="Q99" i="3" s="1"/>
  <c r="R99" i="3" s="1"/>
  <c r="S99" i="3" s="1"/>
  <c r="P87" i="3"/>
  <c r="Q87" i="3" s="1"/>
  <c r="R87" i="3"/>
  <c r="P144" i="3"/>
  <c r="Q144" i="3" s="1"/>
  <c r="R144" i="3" s="1"/>
  <c r="S144" i="3" s="1"/>
  <c r="P167" i="3"/>
  <c r="Q167" i="3" s="1"/>
  <c r="R167" i="3" s="1"/>
  <c r="P194" i="3"/>
  <c r="Q194" i="3" s="1"/>
  <c r="R194" i="3" s="1"/>
  <c r="P182" i="3"/>
  <c r="Q182" i="3" s="1"/>
  <c r="R182" i="3"/>
  <c r="S182" i="3" s="1"/>
  <c r="P170" i="3"/>
  <c r="Q170" i="3" s="1"/>
  <c r="R170" i="3" s="1"/>
  <c r="P158" i="3"/>
  <c r="Q158" i="3" s="1"/>
  <c r="R158" i="3" s="1"/>
  <c r="P146" i="3"/>
  <c r="Q146" i="3" s="1"/>
  <c r="R146" i="3" s="1"/>
  <c r="P134" i="3"/>
  <c r="Q134" i="3" s="1"/>
  <c r="R134" i="3" s="1"/>
  <c r="P122" i="3"/>
  <c r="Q122" i="3" s="1"/>
  <c r="R122" i="3" s="1"/>
  <c r="P110" i="3"/>
  <c r="Q110" i="3" s="1"/>
  <c r="R110" i="3" s="1"/>
  <c r="S110" i="3" s="1"/>
  <c r="P98" i="3"/>
  <c r="Q98" i="3" s="1"/>
  <c r="R98" i="3" s="1"/>
  <c r="P86" i="3"/>
  <c r="Q86" i="3" s="1"/>
  <c r="R86" i="3" s="1"/>
  <c r="S86" i="3" s="1"/>
  <c r="P180" i="3"/>
  <c r="Q180" i="3" s="1"/>
  <c r="R180" i="3" s="1"/>
  <c r="S180" i="3" s="1"/>
  <c r="P131" i="3"/>
  <c r="Q131" i="3" s="1"/>
  <c r="R131" i="3" s="1"/>
  <c r="P210" i="3"/>
  <c r="Q210" i="3" s="1"/>
  <c r="R210" i="3" s="1"/>
  <c r="P202" i="3"/>
  <c r="Q202" i="3" s="1"/>
  <c r="R202" i="3" s="1"/>
  <c r="P193" i="3"/>
  <c r="Q193" i="3" s="1"/>
  <c r="R193" i="3"/>
  <c r="S193" i="3" s="1"/>
  <c r="P181" i="3"/>
  <c r="Q181" i="3" s="1"/>
  <c r="R181" i="3" s="1"/>
  <c r="S181" i="3" s="1"/>
  <c r="P169" i="3"/>
  <c r="Q169" i="3" s="1"/>
  <c r="R169" i="3" s="1"/>
  <c r="P157" i="3"/>
  <c r="Q157" i="3" s="1"/>
  <c r="R157" i="3" s="1"/>
  <c r="P145" i="3"/>
  <c r="Q145" i="3" s="1"/>
  <c r="R145" i="3" s="1"/>
  <c r="S145" i="3" s="1"/>
  <c r="P133" i="3"/>
  <c r="Q133" i="3" s="1"/>
  <c r="R133" i="3" s="1"/>
  <c r="S133" i="3" s="1"/>
  <c r="P121" i="3"/>
  <c r="Q121" i="3" s="1"/>
  <c r="R121" i="3" s="1"/>
  <c r="S121" i="3" s="1"/>
  <c r="P109" i="3"/>
  <c r="Q109" i="3" s="1"/>
  <c r="R109" i="3" s="1"/>
  <c r="P97" i="3"/>
  <c r="Q97" i="3" s="1"/>
  <c r="R97" i="3" s="1"/>
  <c r="S97" i="3" s="1"/>
  <c r="P85" i="3"/>
  <c r="Q85" i="3" s="1"/>
  <c r="R85" i="3" s="1"/>
  <c r="S85" i="3" s="1"/>
  <c r="I204" i="3"/>
  <c r="J204" i="3" s="1"/>
  <c r="K204" i="3" s="1"/>
  <c r="I203" i="3"/>
  <c r="J203" i="3" s="1"/>
  <c r="K203" i="3" s="1"/>
  <c r="I191" i="3"/>
  <c r="J191" i="3" s="1"/>
  <c r="K191" i="3" s="1"/>
  <c r="L191" i="3" s="1"/>
  <c r="I179" i="3"/>
  <c r="J179" i="3" s="1"/>
  <c r="K179" i="3" s="1"/>
  <c r="L179" i="3" s="1"/>
  <c r="I167" i="3"/>
  <c r="J167" i="3" s="1"/>
  <c r="K167" i="3" s="1"/>
  <c r="I155" i="3"/>
  <c r="J155" i="3" s="1"/>
  <c r="K155" i="3" s="1"/>
  <c r="L155" i="3" s="1"/>
  <c r="I143" i="3"/>
  <c r="J143" i="3" s="1"/>
  <c r="K143" i="3" s="1"/>
  <c r="L143" i="3" s="1"/>
  <c r="I131" i="3"/>
  <c r="J131" i="3" s="1"/>
  <c r="K131" i="3" s="1"/>
  <c r="I119" i="3"/>
  <c r="J119" i="3" s="1"/>
  <c r="K119" i="3" s="1"/>
  <c r="I107" i="3"/>
  <c r="J107" i="3" s="1"/>
  <c r="K107" i="3" s="1"/>
  <c r="L107" i="3" s="1"/>
  <c r="I95" i="3"/>
  <c r="J95" i="3" s="1"/>
  <c r="K95" i="3" s="1"/>
  <c r="L95" i="3" s="1"/>
  <c r="I180" i="3"/>
  <c r="J180" i="3" s="1"/>
  <c r="K180" i="3" s="1"/>
  <c r="L180" i="3" s="1"/>
  <c r="I202" i="3"/>
  <c r="J202" i="3" s="1"/>
  <c r="K202" i="3" s="1"/>
  <c r="K190" i="3"/>
  <c r="L190" i="3" s="1"/>
  <c r="I190" i="3"/>
  <c r="J190" i="3" s="1"/>
  <c r="I178" i="3"/>
  <c r="J178" i="3" s="1"/>
  <c r="K178" i="3" s="1"/>
  <c r="L178" i="3" s="1"/>
  <c r="I166" i="3"/>
  <c r="J166" i="3" s="1"/>
  <c r="K166" i="3" s="1"/>
  <c r="L166" i="3" s="1"/>
  <c r="I154" i="3"/>
  <c r="J154" i="3" s="1"/>
  <c r="K154" i="3" s="1"/>
  <c r="L154" i="3" s="1"/>
  <c r="I142" i="3"/>
  <c r="J142" i="3" s="1"/>
  <c r="K142" i="3" s="1"/>
  <c r="I130" i="3"/>
  <c r="J130" i="3" s="1"/>
  <c r="K130" i="3" s="1"/>
  <c r="L130" i="3" s="1"/>
  <c r="I118" i="3"/>
  <c r="J118" i="3" s="1"/>
  <c r="K118" i="3" s="1"/>
  <c r="I106" i="3"/>
  <c r="J106" i="3" s="1"/>
  <c r="K106" i="3" s="1"/>
  <c r="I94" i="3"/>
  <c r="J94" i="3" s="1"/>
  <c r="K94" i="3" s="1"/>
  <c r="I144" i="3"/>
  <c r="J144" i="3" s="1"/>
  <c r="K144" i="3" s="1"/>
  <c r="I213" i="3"/>
  <c r="J213" i="3" s="1"/>
  <c r="K213" i="3" s="1"/>
  <c r="I201" i="3"/>
  <c r="J201" i="3" s="1"/>
  <c r="K201" i="3"/>
  <c r="L201" i="3" s="1"/>
  <c r="I189" i="3"/>
  <c r="J189" i="3" s="1"/>
  <c r="K189" i="3" s="1"/>
  <c r="L189" i="3" s="1"/>
  <c r="I177" i="3"/>
  <c r="J177" i="3" s="1"/>
  <c r="K177" i="3" s="1"/>
  <c r="L177" i="3" s="1"/>
  <c r="I165" i="3"/>
  <c r="J165" i="3" s="1"/>
  <c r="K165" i="3" s="1"/>
  <c r="L165" i="3" s="1"/>
  <c r="I153" i="3"/>
  <c r="J153" i="3" s="1"/>
  <c r="K153" i="3" s="1"/>
  <c r="I141" i="3"/>
  <c r="J141" i="3" s="1"/>
  <c r="K141" i="3" s="1"/>
  <c r="I129" i="3"/>
  <c r="J129" i="3" s="1"/>
  <c r="K129" i="3"/>
  <c r="I117" i="3"/>
  <c r="J117" i="3" s="1"/>
  <c r="K117" i="3" s="1"/>
  <c r="L117" i="3" s="1"/>
  <c r="I105" i="3"/>
  <c r="J105" i="3" s="1"/>
  <c r="K105" i="3" s="1"/>
  <c r="L105" i="3" s="1"/>
  <c r="I93" i="3"/>
  <c r="J93" i="3" s="1"/>
  <c r="K93" i="3" s="1"/>
  <c r="L93" i="3" s="1"/>
  <c r="I120" i="3"/>
  <c r="J120" i="3" s="1"/>
  <c r="K120" i="3" s="1"/>
  <c r="L120" i="3" s="1"/>
  <c r="I212" i="3"/>
  <c r="J212" i="3" s="1"/>
  <c r="K212" i="3" s="1"/>
  <c r="I200" i="3"/>
  <c r="J200" i="3" s="1"/>
  <c r="K200" i="3" s="1"/>
  <c r="L200" i="3" s="1"/>
  <c r="I188" i="3"/>
  <c r="J188" i="3" s="1"/>
  <c r="K188" i="3" s="1"/>
  <c r="L188" i="3" s="1"/>
  <c r="I176" i="3"/>
  <c r="J176" i="3" s="1"/>
  <c r="K176" i="3" s="1"/>
  <c r="L176" i="3" s="1"/>
  <c r="I164" i="3"/>
  <c r="J164" i="3" s="1"/>
  <c r="K164" i="3" s="1"/>
  <c r="I152" i="3"/>
  <c r="J152" i="3" s="1"/>
  <c r="K152" i="3" s="1"/>
  <c r="I140" i="3"/>
  <c r="J140" i="3" s="1"/>
  <c r="K140" i="3" s="1"/>
  <c r="I128" i="3"/>
  <c r="J128" i="3" s="1"/>
  <c r="K128" i="3" s="1"/>
  <c r="I116" i="3"/>
  <c r="J116" i="3" s="1"/>
  <c r="K116" i="3" s="1"/>
  <c r="L116" i="3" s="1"/>
  <c r="I104" i="3"/>
  <c r="J104" i="3" s="1"/>
  <c r="K104" i="3" s="1"/>
  <c r="L104" i="3" s="1"/>
  <c r="I92" i="3"/>
  <c r="J92" i="3" s="1"/>
  <c r="K92" i="3" s="1"/>
  <c r="L92" i="3" s="1"/>
  <c r="I192" i="3"/>
  <c r="J192" i="3" s="1"/>
  <c r="K192" i="3" s="1"/>
  <c r="L192" i="3" s="1"/>
  <c r="I211" i="3"/>
  <c r="J211" i="3" s="1"/>
  <c r="K211" i="3" s="1"/>
  <c r="L211" i="3" s="1"/>
  <c r="I199" i="3"/>
  <c r="J199" i="3" s="1"/>
  <c r="K199" i="3"/>
  <c r="I187" i="3"/>
  <c r="J187" i="3" s="1"/>
  <c r="K187" i="3" s="1"/>
  <c r="L187" i="3" s="1"/>
  <c r="I175" i="3"/>
  <c r="J175" i="3" s="1"/>
  <c r="K175" i="3" s="1"/>
  <c r="L175" i="3" s="1"/>
  <c r="I163" i="3"/>
  <c r="J163" i="3" s="1"/>
  <c r="K163" i="3" s="1"/>
  <c r="L163" i="3" s="1"/>
  <c r="I151" i="3"/>
  <c r="J151" i="3" s="1"/>
  <c r="K151" i="3" s="1"/>
  <c r="I139" i="3"/>
  <c r="J139" i="3" s="1"/>
  <c r="K139" i="3" s="1"/>
  <c r="L139" i="3" s="1"/>
  <c r="I127" i="3"/>
  <c r="J127" i="3" s="1"/>
  <c r="K127" i="3" s="1"/>
  <c r="L127" i="3" s="1"/>
  <c r="I115" i="3"/>
  <c r="J115" i="3" s="1"/>
  <c r="K115" i="3" s="1"/>
  <c r="I103" i="3"/>
  <c r="J103" i="3" s="1"/>
  <c r="K103" i="3" s="1"/>
  <c r="L103" i="3" s="1"/>
  <c r="I91" i="3"/>
  <c r="J91" i="3" s="1"/>
  <c r="K91" i="3" s="1"/>
  <c r="L91" i="3" s="1"/>
  <c r="I96" i="3"/>
  <c r="J96" i="3" s="1"/>
  <c r="K96" i="3" s="1"/>
  <c r="L96" i="3" s="1"/>
  <c r="I210" i="3"/>
  <c r="J210" i="3" s="1"/>
  <c r="K210" i="3" s="1"/>
  <c r="L210" i="3" s="1"/>
  <c r="I198" i="3"/>
  <c r="J198" i="3" s="1"/>
  <c r="K198" i="3" s="1"/>
  <c r="I186" i="3"/>
  <c r="J186" i="3" s="1"/>
  <c r="K186" i="3" s="1"/>
  <c r="L186" i="3" s="1"/>
  <c r="I174" i="3"/>
  <c r="J174" i="3" s="1"/>
  <c r="K174" i="3" s="1"/>
  <c r="L174" i="3" s="1"/>
  <c r="I162" i="3"/>
  <c r="J162" i="3" s="1"/>
  <c r="K162" i="3" s="1"/>
  <c r="L162" i="3" s="1"/>
  <c r="I150" i="3"/>
  <c r="J150" i="3" s="1"/>
  <c r="K150" i="3" s="1"/>
  <c r="I138" i="3"/>
  <c r="J138" i="3" s="1"/>
  <c r="K138" i="3" s="1"/>
  <c r="L138" i="3" s="1"/>
  <c r="I126" i="3"/>
  <c r="J126" i="3" s="1"/>
  <c r="K126" i="3" s="1"/>
  <c r="I114" i="3"/>
  <c r="J114" i="3" s="1"/>
  <c r="K114" i="3" s="1"/>
  <c r="I102" i="3"/>
  <c r="J102" i="3" s="1"/>
  <c r="K102" i="3" s="1"/>
  <c r="L102" i="3" s="1"/>
  <c r="I90" i="3"/>
  <c r="J90" i="3" s="1"/>
  <c r="K90" i="3" s="1"/>
  <c r="I168" i="3"/>
  <c r="J168" i="3" s="1"/>
  <c r="K168" i="3" s="1"/>
  <c r="I209" i="3"/>
  <c r="J209" i="3" s="1"/>
  <c r="K209" i="3" s="1"/>
  <c r="L209" i="3" s="1"/>
  <c r="I197" i="3"/>
  <c r="J197" i="3" s="1"/>
  <c r="K197" i="3" s="1"/>
  <c r="L197" i="3" s="1"/>
  <c r="I185" i="3"/>
  <c r="J185" i="3" s="1"/>
  <c r="K185" i="3" s="1"/>
  <c r="L185" i="3" s="1"/>
  <c r="I173" i="3"/>
  <c r="J173" i="3" s="1"/>
  <c r="K173" i="3" s="1"/>
  <c r="I161" i="3"/>
  <c r="J161" i="3" s="1"/>
  <c r="K161" i="3" s="1"/>
  <c r="L161" i="3" s="1"/>
  <c r="I149" i="3"/>
  <c r="J149" i="3" s="1"/>
  <c r="K149" i="3"/>
  <c r="I137" i="3"/>
  <c r="J137" i="3" s="1"/>
  <c r="K137" i="3" s="1"/>
  <c r="I125" i="3"/>
  <c r="J125" i="3" s="1"/>
  <c r="K125" i="3" s="1"/>
  <c r="I113" i="3"/>
  <c r="J113" i="3" s="1"/>
  <c r="K113" i="3" s="1"/>
  <c r="L113" i="3" s="1"/>
  <c r="I101" i="3"/>
  <c r="J101" i="3" s="1"/>
  <c r="K101" i="3" s="1"/>
  <c r="I89" i="3"/>
  <c r="J89" i="3" s="1"/>
  <c r="K89" i="3"/>
  <c r="L89" i="3" s="1"/>
  <c r="I132" i="3"/>
  <c r="J132" i="3" s="1"/>
  <c r="K132" i="3" s="1"/>
  <c r="I208" i="3"/>
  <c r="J208" i="3" s="1"/>
  <c r="K208" i="3" s="1"/>
  <c r="L208" i="3" s="1"/>
  <c r="K196" i="3"/>
  <c r="I196" i="3"/>
  <c r="J196" i="3" s="1"/>
  <c r="I184" i="3"/>
  <c r="J184" i="3" s="1"/>
  <c r="K184" i="3" s="1"/>
  <c r="L184" i="3" s="1"/>
  <c r="I172" i="3"/>
  <c r="J172" i="3" s="1"/>
  <c r="K172" i="3" s="1"/>
  <c r="I160" i="3"/>
  <c r="J160" i="3" s="1"/>
  <c r="K160" i="3" s="1"/>
  <c r="I148" i="3"/>
  <c r="J148" i="3" s="1"/>
  <c r="K148" i="3" s="1"/>
  <c r="I136" i="3"/>
  <c r="J136" i="3" s="1"/>
  <c r="K136" i="3" s="1"/>
  <c r="L136" i="3" s="1"/>
  <c r="I124" i="3"/>
  <c r="J124" i="3" s="1"/>
  <c r="K124" i="3" s="1"/>
  <c r="L124" i="3" s="1"/>
  <c r="I112" i="3"/>
  <c r="J112" i="3" s="1"/>
  <c r="K112" i="3" s="1"/>
  <c r="L112" i="3" s="1"/>
  <c r="I100" i="3"/>
  <c r="J100" i="3" s="1"/>
  <c r="K100" i="3" s="1"/>
  <c r="L100" i="3" s="1"/>
  <c r="I88" i="3"/>
  <c r="J88" i="3" s="1"/>
  <c r="K88" i="3" s="1"/>
  <c r="L88" i="3" s="1"/>
  <c r="I156" i="3"/>
  <c r="J156" i="3" s="1"/>
  <c r="K156" i="3"/>
  <c r="L156" i="3" s="1"/>
  <c r="I207" i="3"/>
  <c r="J207" i="3" s="1"/>
  <c r="K207" i="3" s="1"/>
  <c r="I195" i="3"/>
  <c r="J195" i="3" s="1"/>
  <c r="K195" i="3" s="1"/>
  <c r="L195" i="3" s="1"/>
  <c r="I183" i="3"/>
  <c r="J183" i="3" s="1"/>
  <c r="K183" i="3" s="1"/>
  <c r="L183" i="3" s="1"/>
  <c r="I171" i="3"/>
  <c r="J171" i="3" s="1"/>
  <c r="K171" i="3" s="1"/>
  <c r="I159" i="3"/>
  <c r="J159" i="3" s="1"/>
  <c r="K159" i="3"/>
  <c r="L159" i="3" s="1"/>
  <c r="I147" i="3"/>
  <c r="J147" i="3" s="1"/>
  <c r="K147" i="3" s="1"/>
  <c r="L147" i="3" s="1"/>
  <c r="I135" i="3"/>
  <c r="J135" i="3" s="1"/>
  <c r="K135" i="3" s="1"/>
  <c r="I123" i="3"/>
  <c r="J123" i="3" s="1"/>
  <c r="K123" i="3" s="1"/>
  <c r="I111" i="3"/>
  <c r="J111" i="3" s="1"/>
  <c r="K111" i="3" s="1"/>
  <c r="I99" i="3"/>
  <c r="J99" i="3" s="1"/>
  <c r="K99" i="3" s="1"/>
  <c r="L99" i="3" s="1"/>
  <c r="I87" i="3"/>
  <c r="J87" i="3" s="1"/>
  <c r="K87" i="3" s="1"/>
  <c r="L87" i="3" s="1"/>
  <c r="I108" i="3"/>
  <c r="J108" i="3" s="1"/>
  <c r="K108" i="3" s="1"/>
  <c r="I206" i="3"/>
  <c r="J206" i="3" s="1"/>
  <c r="K206" i="3" s="1"/>
  <c r="I194" i="3"/>
  <c r="J194" i="3" s="1"/>
  <c r="K194" i="3" s="1"/>
  <c r="L194" i="3" s="1"/>
  <c r="K182" i="3"/>
  <c r="L182" i="3" s="1"/>
  <c r="I182" i="3"/>
  <c r="J182" i="3" s="1"/>
  <c r="K170" i="3"/>
  <c r="I170" i="3"/>
  <c r="J170" i="3" s="1"/>
  <c r="I158" i="3"/>
  <c r="J158" i="3" s="1"/>
  <c r="K158" i="3"/>
  <c r="I146" i="3"/>
  <c r="J146" i="3" s="1"/>
  <c r="K146" i="3" s="1"/>
  <c r="K134" i="3"/>
  <c r="I134" i="3"/>
  <c r="J134" i="3" s="1"/>
  <c r="I122" i="3"/>
  <c r="J122" i="3" s="1"/>
  <c r="K122" i="3" s="1"/>
  <c r="L122" i="3" s="1"/>
  <c r="K110" i="3"/>
  <c r="L110" i="3" s="1"/>
  <c r="I110" i="3"/>
  <c r="J110" i="3" s="1"/>
  <c r="I98" i="3"/>
  <c r="J98" i="3" s="1"/>
  <c r="K98" i="3" s="1"/>
  <c r="I86" i="3"/>
  <c r="J86" i="3" s="1"/>
  <c r="K86" i="3" s="1"/>
  <c r="L86" i="3" s="1"/>
  <c r="I205" i="3"/>
  <c r="J205" i="3" s="1"/>
  <c r="K205" i="3"/>
  <c r="I193" i="3"/>
  <c r="J193" i="3" s="1"/>
  <c r="K193" i="3" s="1"/>
  <c r="L193" i="3" s="1"/>
  <c r="I181" i="3"/>
  <c r="J181" i="3" s="1"/>
  <c r="K181" i="3" s="1"/>
  <c r="L181" i="3" s="1"/>
  <c r="I169" i="3"/>
  <c r="J169" i="3" s="1"/>
  <c r="K169" i="3" s="1"/>
  <c r="I157" i="3"/>
  <c r="J157" i="3" s="1"/>
  <c r="K157" i="3" s="1"/>
  <c r="I145" i="3"/>
  <c r="J145" i="3" s="1"/>
  <c r="K145" i="3"/>
  <c r="L145" i="3" s="1"/>
  <c r="I133" i="3"/>
  <c r="J133" i="3" s="1"/>
  <c r="K133" i="3" s="1"/>
  <c r="L133" i="3" s="1"/>
  <c r="I121" i="3"/>
  <c r="J121" i="3" s="1"/>
  <c r="K121" i="3" s="1"/>
  <c r="I109" i="3"/>
  <c r="J109" i="3" s="1"/>
  <c r="K109" i="3" s="1"/>
  <c r="I97" i="3"/>
  <c r="J97" i="3" s="1"/>
  <c r="K97" i="3" s="1"/>
  <c r="L97" i="3" s="1"/>
  <c r="I85" i="3"/>
  <c r="J85" i="3" s="1"/>
  <c r="K85" i="3" s="1"/>
  <c r="L85" i="3" s="1"/>
  <c r="BF199" i="3"/>
  <c r="BG199" i="3" s="1"/>
  <c r="BH199" i="3" s="1"/>
  <c r="BP197" i="3"/>
  <c r="AK175" i="3"/>
  <c r="AL175" i="3" s="1"/>
  <c r="AM175" i="3" s="1"/>
  <c r="AN175" i="3" s="1"/>
  <c r="BF172" i="3"/>
  <c r="BG172" i="3" s="1"/>
  <c r="BH172" i="3" s="1"/>
  <c r="BF207" i="3"/>
  <c r="BG207" i="3" s="1"/>
  <c r="BH207" i="3" s="1"/>
  <c r="AR199" i="3"/>
  <c r="AS199" i="3" s="1"/>
  <c r="AT199" i="3" s="1"/>
  <c r="AU199" i="3" s="1"/>
  <c r="BM174" i="3"/>
  <c r="BN174" i="3" s="1"/>
  <c r="BO174" i="3" s="1"/>
  <c r="BP174" i="3" s="1"/>
  <c r="AY172" i="3"/>
  <c r="AZ172" i="3" s="1"/>
  <c r="BA172" i="3" s="1"/>
  <c r="BF173" i="3"/>
  <c r="BG173" i="3" s="1"/>
  <c r="BH173" i="3" s="1"/>
  <c r="AR176" i="3"/>
  <c r="AS176" i="3" s="1"/>
  <c r="AT176" i="3" s="1"/>
  <c r="AU176" i="3" s="1"/>
  <c r="BF192" i="3"/>
  <c r="BG192" i="3" s="1"/>
  <c r="BH192" i="3" s="1"/>
  <c r="BI192" i="3" s="1"/>
  <c r="AY204" i="3"/>
  <c r="AZ204" i="3" s="1"/>
  <c r="BA204" i="3" s="1"/>
  <c r="BB204" i="3" s="1"/>
  <c r="AR188" i="3"/>
  <c r="AS188" i="3" s="1"/>
  <c r="AT188" i="3" s="1"/>
  <c r="AU188" i="3" s="1"/>
  <c r="AN106" i="3"/>
  <c r="BF186" i="3"/>
  <c r="BG186" i="3" s="1"/>
  <c r="BH186" i="3" s="1"/>
  <c r="BI186" i="3" s="1"/>
  <c r="AN201" i="3"/>
  <c r="BB193" i="3"/>
  <c r="BP88" i="3"/>
  <c r="E87" i="3"/>
  <c r="AU87" i="3" s="1"/>
  <c r="E155" i="3"/>
  <c r="E199" i="3"/>
  <c r="BB199" i="3" s="1"/>
  <c r="E207" i="3"/>
  <c r="AN207" i="3" s="1"/>
  <c r="AG192" i="3"/>
  <c r="AG180" i="3"/>
  <c r="AG156" i="3"/>
  <c r="AG96" i="3"/>
  <c r="AM206" i="3"/>
  <c r="BP200" i="3"/>
  <c r="BI198" i="3"/>
  <c r="AM176" i="3"/>
  <c r="AN176" i="3" s="1"/>
  <c r="BH174" i="3"/>
  <c r="BI174" i="3" s="1"/>
  <c r="BP199" i="3"/>
  <c r="BP96" i="3"/>
  <c r="E86" i="3"/>
  <c r="BP86" i="3" s="1"/>
  <c r="E104" i="3"/>
  <c r="AN104" i="3" s="1"/>
  <c r="E182" i="3"/>
  <c r="AU182" i="3" s="1"/>
  <c r="E198" i="3"/>
  <c r="BP198" i="3" s="1"/>
  <c r="E206" i="3"/>
  <c r="BB206" i="3" s="1"/>
  <c r="BO206" i="3"/>
  <c r="BP206" i="3" s="1"/>
  <c r="AM204" i="3"/>
  <c r="BH152" i="3"/>
  <c r="AM149" i="3"/>
  <c r="AT144" i="3"/>
  <c r="AT109" i="3"/>
  <c r="AU109" i="3" s="1"/>
  <c r="AT107" i="3"/>
  <c r="AU107" i="3" s="1"/>
  <c r="BH105" i="3"/>
  <c r="BI105" i="3" s="1"/>
  <c r="E156" i="3"/>
  <c r="BP201" i="3"/>
  <c r="BI200" i="3"/>
  <c r="BI99" i="3"/>
  <c r="BB96" i="3"/>
  <c r="BI91" i="3"/>
  <c r="BB88" i="3"/>
  <c r="AU85" i="3"/>
  <c r="AU206" i="3"/>
  <c r="E112" i="3"/>
  <c r="E154" i="3"/>
  <c r="AG154" i="3" s="1"/>
  <c r="E196" i="3"/>
  <c r="AG196" i="3" s="1"/>
  <c r="BB209" i="3"/>
  <c r="BA208" i="3"/>
  <c r="BB208" i="3" s="1"/>
  <c r="BO189" i="3"/>
  <c r="BP189" i="3" s="1"/>
  <c r="BH188" i="3"/>
  <c r="BI188" i="3" s="1"/>
  <c r="AT177" i="3"/>
  <c r="BO175" i="3"/>
  <c r="BP175" i="3" s="1"/>
  <c r="AM156" i="3"/>
  <c r="AN156" i="3" s="1"/>
  <c r="AG194" i="3"/>
  <c r="E111" i="3"/>
  <c r="E163" i="3"/>
  <c r="E179" i="3"/>
  <c r="BP179" i="3" s="1"/>
  <c r="E195" i="3"/>
  <c r="AG200" i="3"/>
  <c r="AG188" i="3"/>
  <c r="AG176" i="3"/>
  <c r="AG92" i="3"/>
  <c r="BH132" i="3"/>
  <c r="AM115" i="3"/>
  <c r="BO110" i="3"/>
  <c r="BP110" i="3" s="1"/>
  <c r="AG182" i="3"/>
  <c r="BI112" i="3"/>
  <c r="AU99" i="3"/>
  <c r="BI97" i="3"/>
  <c r="AN96" i="3"/>
  <c r="BP92" i="3"/>
  <c r="AU91" i="3"/>
  <c r="BI89" i="3"/>
  <c r="AN88" i="3"/>
  <c r="AG206" i="3"/>
  <c r="E197" i="3"/>
  <c r="BB197" i="3" s="1"/>
  <c r="E93" i="3"/>
  <c r="BI93" i="3" s="1"/>
  <c r="E101" i="3"/>
  <c r="E109" i="3"/>
  <c r="E161" i="3"/>
  <c r="BP161" i="3" s="1"/>
  <c r="E177" i="3"/>
  <c r="BP177" i="3" s="1"/>
  <c r="AG198" i="3"/>
  <c r="AG186" i="3"/>
  <c r="AG174" i="3"/>
  <c r="AG138" i="3"/>
  <c r="AG102" i="3"/>
  <c r="AR84" i="3"/>
  <c r="AM177" i="3"/>
  <c r="AT159" i="3"/>
  <c r="BO113" i="3"/>
  <c r="BP113" i="3" s="1"/>
  <c r="BB177" i="3"/>
  <c r="E108" i="3"/>
  <c r="AG108" i="3" s="1"/>
  <c r="E160" i="3"/>
  <c r="AU160" i="3" s="1"/>
  <c r="E194" i="3"/>
  <c r="BO156" i="3"/>
  <c r="BP156" i="3" s="1"/>
  <c r="BP209" i="3"/>
  <c r="AG160" i="3"/>
  <c r="AG112" i="3"/>
  <c r="AG88" i="3"/>
  <c r="AN209" i="3"/>
  <c r="AU201" i="3"/>
  <c r="AN200" i="3"/>
  <c r="BB154" i="3"/>
  <c r="BB100" i="3"/>
  <c r="AU97" i="3"/>
  <c r="BI95" i="3"/>
  <c r="BB92" i="3"/>
  <c r="E157" i="3"/>
  <c r="AU196" i="3"/>
  <c r="E159" i="3"/>
  <c r="E167" i="3"/>
  <c r="BP167" i="3" s="1"/>
  <c r="E203" i="3"/>
  <c r="BP203" i="3" s="1"/>
  <c r="AG208" i="3"/>
  <c r="AG100" i="3"/>
  <c r="E90" i="3"/>
  <c r="BP90" i="3" s="1"/>
  <c r="E98" i="3"/>
  <c r="AG98" i="3" s="1"/>
  <c r="E106" i="3"/>
  <c r="AG106" i="3" s="1"/>
  <c r="E158" i="3"/>
  <c r="BB158" i="3" s="1"/>
  <c r="E202" i="3"/>
  <c r="AG202" i="3" s="1"/>
  <c r="E210" i="3"/>
  <c r="BP210" i="3" s="1"/>
  <c r="BH150" i="3"/>
  <c r="BO145" i="3"/>
  <c r="BF114" i="3"/>
  <c r="BG114" i="3" s="1"/>
  <c r="BH114" i="3" s="1"/>
  <c r="AY113" i="3"/>
  <c r="AZ113" i="3" s="1"/>
  <c r="BA113" i="3" s="1"/>
  <c r="BB113" i="3" s="1"/>
  <c r="AY198" i="3"/>
  <c r="AZ198" i="3" s="1"/>
  <c r="BA198" i="3" s="1"/>
  <c r="BB198" i="3" s="1"/>
  <c r="AR197" i="3"/>
  <c r="AS197" i="3" s="1"/>
  <c r="AT197" i="3" s="1"/>
  <c r="AK196" i="3"/>
  <c r="AL196" i="3" s="1"/>
  <c r="AM196" i="3" s="1"/>
  <c r="AY194" i="3"/>
  <c r="AZ194" i="3" s="1"/>
  <c r="BA194" i="3" s="1"/>
  <c r="BB194" i="3" s="1"/>
  <c r="AR191" i="3"/>
  <c r="AS191" i="3" s="1"/>
  <c r="AT191" i="3" s="1"/>
  <c r="AU191" i="3" s="1"/>
  <c r="AT190" i="3"/>
  <c r="AU190" i="3" s="1"/>
  <c r="AK188" i="3"/>
  <c r="AL188" i="3" s="1"/>
  <c r="AM188" i="3" s="1"/>
  <c r="AN188" i="3" s="1"/>
  <c r="AR171" i="3"/>
  <c r="AS171" i="3" s="1"/>
  <c r="AT171" i="3" s="1"/>
  <c r="AK197" i="3"/>
  <c r="AL197" i="3" s="1"/>
  <c r="AM197" i="3" s="1"/>
  <c r="AN197" i="3" s="1"/>
  <c r="AK190" i="3"/>
  <c r="AL190" i="3" s="1"/>
  <c r="AM190" i="3" s="1"/>
  <c r="AN190" i="3" s="1"/>
  <c r="BF196" i="3"/>
  <c r="BG196" i="3" s="1"/>
  <c r="BH196" i="3" s="1"/>
  <c r="BI196" i="3" s="1"/>
  <c r="BM188" i="3"/>
  <c r="BN188" i="3" s="1"/>
  <c r="BO188" i="3" s="1"/>
  <c r="BP188" i="3" s="1"/>
  <c r="AR189" i="3"/>
  <c r="AS189" i="3" s="1"/>
  <c r="AT189" i="3" s="1"/>
  <c r="AU189" i="3" s="1"/>
  <c r="BA195" i="3"/>
  <c r="BB195" i="3" s="1"/>
  <c r="AK194" i="3"/>
  <c r="AL194" i="3" s="1"/>
  <c r="AM194" i="3" s="1"/>
  <c r="AN194" i="3" s="1"/>
  <c r="AK192" i="3"/>
  <c r="AL192" i="3" s="1"/>
  <c r="AM192" i="3" s="1"/>
  <c r="AN192" i="3" s="1"/>
  <c r="AM187" i="3"/>
  <c r="AN187" i="3" s="1"/>
  <c r="BM194" i="3"/>
  <c r="BN194" i="3" s="1"/>
  <c r="BO194" i="3" s="1"/>
  <c r="BP194" i="3" s="1"/>
  <c r="BF197" i="3"/>
  <c r="BG197" i="3" s="1"/>
  <c r="BH197" i="3" s="1"/>
  <c r="BI197" i="3" s="1"/>
  <c r="AY190" i="3"/>
  <c r="AZ190" i="3" s="1"/>
  <c r="BA190" i="3" s="1"/>
  <c r="BB190" i="3" s="1"/>
  <c r="BM195" i="3"/>
  <c r="BN195" i="3" s="1"/>
  <c r="BO195" i="3" s="1"/>
  <c r="BP195" i="3" s="1"/>
  <c r="BM192" i="3"/>
  <c r="BN192" i="3" s="1"/>
  <c r="BO192" i="3" s="1"/>
  <c r="BP192" i="3" s="1"/>
  <c r="BF189" i="3"/>
  <c r="BG189" i="3" s="1"/>
  <c r="BH189" i="3" s="1"/>
  <c r="BI189" i="3" s="1"/>
  <c r="AY188" i="3"/>
  <c r="AZ188" i="3" s="1"/>
  <c r="BA188" i="3" s="1"/>
  <c r="BB188" i="3" s="1"/>
  <c r="AR198" i="3"/>
  <c r="AS198" i="3" s="1"/>
  <c r="AT198" i="3" s="1"/>
  <c r="AU198" i="3" s="1"/>
  <c r="BF194" i="3"/>
  <c r="BG194" i="3" s="1"/>
  <c r="BH194" i="3" s="1"/>
  <c r="BI194" i="3" s="1"/>
  <c r="AK195" i="3"/>
  <c r="AL195" i="3" s="1"/>
  <c r="AM195" i="3" s="1"/>
  <c r="AN195" i="3" s="1"/>
  <c r="BF193" i="3"/>
  <c r="BG193" i="3" s="1"/>
  <c r="BH193" i="3" s="1"/>
  <c r="BI193" i="3" s="1"/>
  <c r="BF191" i="3"/>
  <c r="BG191" i="3" s="1"/>
  <c r="BH191" i="3" s="1"/>
  <c r="BI191" i="3" s="1"/>
  <c r="AY164" i="3"/>
  <c r="AZ164" i="3" s="1"/>
  <c r="BA164" i="3" s="1"/>
  <c r="BA186" i="3"/>
  <c r="BB186" i="3" s="1"/>
  <c r="BO184" i="3"/>
  <c r="BP184" i="3" s="1"/>
  <c r="AT183" i="3"/>
  <c r="AU183" i="3" s="1"/>
  <c r="BH181" i="3"/>
  <c r="BI181" i="3" s="1"/>
  <c r="AM180" i="3"/>
  <c r="AN180" i="3" s="1"/>
  <c r="BA178" i="3"/>
  <c r="BB178" i="3" s="1"/>
  <c r="BO169" i="3"/>
  <c r="AM158" i="3"/>
  <c r="AN158" i="3" s="1"/>
  <c r="AT153" i="3"/>
  <c r="BH166" i="3"/>
  <c r="BF165" i="3"/>
  <c r="BG165" i="3" s="1"/>
  <c r="BH165" i="3" s="1"/>
  <c r="AR164" i="3"/>
  <c r="AS164" i="3" s="1"/>
  <c r="AT164" i="3" s="1"/>
  <c r="BH155" i="3"/>
  <c r="BI155" i="3" s="1"/>
  <c r="BM170" i="3"/>
  <c r="BN170" i="3" s="1"/>
  <c r="BO170" i="3" s="1"/>
  <c r="BF169" i="3"/>
  <c r="BG169" i="3" s="1"/>
  <c r="BH169" i="3" s="1"/>
  <c r="AM198" i="3"/>
  <c r="AN198" i="3" s="1"/>
  <c r="BO186" i="3"/>
  <c r="BP186" i="3" s="1"/>
  <c r="AT185" i="3"/>
  <c r="AU185" i="3" s="1"/>
  <c r="BH183" i="3"/>
  <c r="BI183" i="3" s="1"/>
  <c r="AM182" i="3"/>
  <c r="AN182" i="3" s="1"/>
  <c r="BA180" i="3"/>
  <c r="BB180" i="3" s="1"/>
  <c r="BO178" i="3"/>
  <c r="BP178" i="3" s="1"/>
  <c r="BF168" i="3"/>
  <c r="BG168" i="3" s="1"/>
  <c r="BH168" i="3" s="1"/>
  <c r="AY165" i="3"/>
  <c r="AZ165" i="3" s="1"/>
  <c r="BA165" i="3" s="1"/>
  <c r="AY133" i="3"/>
  <c r="AZ133" i="3" s="1"/>
  <c r="BA133" i="3" s="1"/>
  <c r="BB133" i="3" s="1"/>
  <c r="AT195" i="3"/>
  <c r="AU195" i="3" s="1"/>
  <c r="BA192" i="3"/>
  <c r="BB192" i="3" s="1"/>
  <c r="AY162" i="3"/>
  <c r="AZ162" i="3" s="1"/>
  <c r="BA162" i="3" s="1"/>
  <c r="AR161" i="3"/>
  <c r="AS161" i="3" s="1"/>
  <c r="AT161" i="3" s="1"/>
  <c r="BH195" i="3"/>
  <c r="BI195" i="3" s="1"/>
  <c r="AT194" i="3"/>
  <c r="AU194" i="3" s="1"/>
  <c r="BO191" i="3"/>
  <c r="BP191" i="3" s="1"/>
  <c r="BH177" i="3"/>
  <c r="BA176" i="3"/>
  <c r="BB176" i="3" s="1"/>
  <c r="AT175" i="3"/>
  <c r="AU175" i="3" s="1"/>
  <c r="AM174" i="3"/>
  <c r="AN174" i="3" s="1"/>
  <c r="BO172" i="3"/>
  <c r="BH171" i="3"/>
  <c r="BH170" i="3"/>
  <c r="AY168" i="3"/>
  <c r="AZ168" i="3" s="1"/>
  <c r="BA168" i="3" s="1"/>
  <c r="AR167" i="3"/>
  <c r="AS167" i="3" s="1"/>
  <c r="AT167" i="3" s="1"/>
  <c r="AU167" i="3" s="1"/>
  <c r="BF157" i="3"/>
  <c r="BG157" i="3" s="1"/>
  <c r="BH157" i="3" s="1"/>
  <c r="AY136" i="3"/>
  <c r="AZ136" i="3" s="1"/>
  <c r="BA136" i="3" s="1"/>
  <c r="AT187" i="3"/>
  <c r="AU187" i="3" s="1"/>
  <c r="BH185" i="3"/>
  <c r="BI185" i="3" s="1"/>
  <c r="AM184" i="3"/>
  <c r="AN184" i="3" s="1"/>
  <c r="BA182" i="3"/>
  <c r="BB182" i="3" s="1"/>
  <c r="BO180" i="3"/>
  <c r="BP180" i="3" s="1"/>
  <c r="AT179" i="3"/>
  <c r="AU179" i="3" s="1"/>
  <c r="AY170" i="3"/>
  <c r="AZ170" i="3" s="1"/>
  <c r="BA170" i="3" s="1"/>
  <c r="BF163" i="3"/>
  <c r="BG163" i="3" s="1"/>
  <c r="BH163" i="3" s="1"/>
  <c r="BI163" i="3" s="1"/>
  <c r="AR155" i="3"/>
  <c r="AS155" i="3" s="1"/>
  <c r="AT155" i="3" s="1"/>
  <c r="AU155" i="3" s="1"/>
  <c r="BA196" i="3"/>
  <c r="BB196" i="3" s="1"/>
  <c r="BF141" i="3"/>
  <c r="BG141" i="3" s="1"/>
  <c r="BH141" i="3" s="1"/>
  <c r="AM169" i="3"/>
  <c r="AK163" i="3"/>
  <c r="AL163" i="3" s="1"/>
  <c r="AM163" i="3" s="1"/>
  <c r="AN163" i="3" s="1"/>
  <c r="BO196" i="3"/>
  <c r="BP196" i="3" s="1"/>
  <c r="AT193" i="3"/>
  <c r="AU193" i="3" s="1"/>
  <c r="BO190" i="3"/>
  <c r="BP190" i="3" s="1"/>
  <c r="AK168" i="3"/>
  <c r="AL168" i="3" s="1"/>
  <c r="AM168" i="3" s="1"/>
  <c r="AM167" i="3"/>
  <c r="AN167" i="3" s="1"/>
  <c r="BM164" i="3"/>
  <c r="BN164" i="3" s="1"/>
  <c r="BO164" i="3" s="1"/>
  <c r="AY152" i="3"/>
  <c r="AZ152" i="3" s="1"/>
  <c r="BA152" i="3" s="1"/>
  <c r="BH187" i="3"/>
  <c r="BI187" i="3" s="1"/>
  <c r="AM186" i="3"/>
  <c r="AN186" i="3" s="1"/>
  <c r="BA184" i="3"/>
  <c r="BB184" i="3" s="1"/>
  <c r="BO182" i="3"/>
  <c r="BP182" i="3" s="1"/>
  <c r="AT181" i="3"/>
  <c r="AU181" i="3" s="1"/>
  <c r="BH179" i="3"/>
  <c r="BI179" i="3" s="1"/>
  <c r="AM178" i="3"/>
  <c r="AN178" i="3" s="1"/>
  <c r="BO176" i="3"/>
  <c r="BP176" i="3" s="1"/>
  <c r="BH175" i="3"/>
  <c r="BI175" i="3" s="1"/>
  <c r="BA174" i="3"/>
  <c r="BB174" i="3" s="1"/>
  <c r="AT173" i="3"/>
  <c r="AM172" i="3"/>
  <c r="AT170" i="3"/>
  <c r="AR163" i="3"/>
  <c r="AS163" i="3" s="1"/>
  <c r="AT163" i="3" s="1"/>
  <c r="AU163" i="3" s="1"/>
  <c r="AY150" i="3"/>
  <c r="AZ150" i="3" s="1"/>
  <c r="BA150" i="3" s="1"/>
  <c r="AR148" i="3"/>
  <c r="AS148" i="3" s="1"/>
  <c r="AT148" i="3" s="1"/>
  <c r="AR147" i="3"/>
  <c r="AS147" i="3" s="1"/>
  <c r="AT147" i="3" s="1"/>
  <c r="AK145" i="3"/>
  <c r="AL145" i="3" s="1"/>
  <c r="AM145" i="3" s="1"/>
  <c r="AK144" i="3"/>
  <c r="AL144" i="3" s="1"/>
  <c r="AM144" i="3" s="1"/>
  <c r="BM141" i="3"/>
  <c r="BN141" i="3" s="1"/>
  <c r="BO141" i="3" s="1"/>
  <c r="AR140" i="3"/>
  <c r="AS140" i="3" s="1"/>
  <c r="AT140" i="3" s="1"/>
  <c r="AM166" i="3"/>
  <c r="BA160" i="3"/>
  <c r="BB160" i="3" s="1"/>
  <c r="BH159" i="3"/>
  <c r="BI159" i="3" s="1"/>
  <c r="BO158" i="3"/>
  <c r="BP158" i="3" s="1"/>
  <c r="AT157" i="3"/>
  <c r="BA156" i="3"/>
  <c r="BB156" i="3" s="1"/>
  <c r="BO154" i="3"/>
  <c r="BP154" i="3" s="1"/>
  <c r="AM154" i="3"/>
  <c r="AN154" i="3" s="1"/>
  <c r="AK132" i="3"/>
  <c r="AL132" i="3" s="1"/>
  <c r="AM132" i="3" s="1"/>
  <c r="BM126" i="3"/>
  <c r="BN126" i="3" s="1"/>
  <c r="BO126" i="3" s="1"/>
  <c r="AM161" i="3"/>
  <c r="AN161" i="3" s="1"/>
  <c r="BA159" i="3"/>
  <c r="BB159" i="3" s="1"/>
  <c r="AM157" i="3"/>
  <c r="BH154" i="3"/>
  <c r="BI154" i="3" s="1"/>
  <c r="AR133" i="3"/>
  <c r="AS133" i="3" s="1"/>
  <c r="AT133" i="3" s="1"/>
  <c r="BO134" i="3"/>
  <c r="AR124" i="3"/>
  <c r="AS124" i="3" s="1"/>
  <c r="AT124" i="3" s="1"/>
  <c r="BA166" i="3"/>
  <c r="BF158" i="3"/>
  <c r="BG158" i="3" s="1"/>
  <c r="BH158" i="3" s="1"/>
  <c r="BI158" i="3" s="1"/>
  <c r="AR156" i="3"/>
  <c r="AS156" i="3" s="1"/>
  <c r="AT156" i="3" s="1"/>
  <c r="AU156" i="3" s="1"/>
  <c r="BM153" i="3"/>
  <c r="BN153" i="3" s="1"/>
  <c r="BO153" i="3" s="1"/>
  <c r="AK152" i="3"/>
  <c r="AL152" i="3" s="1"/>
  <c r="AM152" i="3" s="1"/>
  <c r="AR141" i="3"/>
  <c r="AS141" i="3" s="1"/>
  <c r="AT141" i="3" s="1"/>
  <c r="BH164" i="3"/>
  <c r="BA163" i="3"/>
  <c r="BB163" i="3" s="1"/>
  <c r="AT162" i="3"/>
  <c r="BH161" i="3"/>
  <c r="BI161" i="3" s="1"/>
  <c r="BM149" i="3"/>
  <c r="BN149" i="3" s="1"/>
  <c r="BO149" i="3" s="1"/>
  <c r="BM148" i="3"/>
  <c r="BN148" i="3" s="1"/>
  <c r="BO148" i="3" s="1"/>
  <c r="BF146" i="3"/>
  <c r="BG146" i="3" s="1"/>
  <c r="BH146" i="3" s="1"/>
  <c r="BF145" i="3"/>
  <c r="BG145" i="3" s="1"/>
  <c r="BH145" i="3" s="1"/>
  <c r="AY143" i="3"/>
  <c r="AZ143" i="3" s="1"/>
  <c r="BA143" i="3" s="1"/>
  <c r="AY142" i="3"/>
  <c r="AZ142" i="3" s="1"/>
  <c r="BA142" i="3" s="1"/>
  <c r="BF138" i="3"/>
  <c r="BG138" i="3" s="1"/>
  <c r="BH138" i="3" s="1"/>
  <c r="AR137" i="3"/>
  <c r="AS137" i="3" s="1"/>
  <c r="AT137" i="3" s="1"/>
  <c r="AT165" i="3"/>
  <c r="AM164" i="3"/>
  <c r="AN164" i="3" s="1"/>
  <c r="BO162" i="3"/>
  <c r="BM150" i="3"/>
  <c r="BN150" i="3" s="1"/>
  <c r="BO150" i="3" s="1"/>
  <c r="BO166" i="3"/>
  <c r="BO160" i="3"/>
  <c r="BP160" i="3" s="1"/>
  <c r="AM160" i="3"/>
  <c r="AN160" i="3" s="1"/>
  <c r="AR134" i="3"/>
  <c r="AS134" i="3" s="1"/>
  <c r="AT134" i="3" s="1"/>
  <c r="AK130" i="3"/>
  <c r="AL130" i="3" s="1"/>
  <c r="AM130" i="3" s="1"/>
  <c r="AT168" i="3"/>
  <c r="BF140" i="3"/>
  <c r="BG140" i="3" s="1"/>
  <c r="BH140" i="3" s="1"/>
  <c r="BI140" i="3" s="1"/>
  <c r="AM165" i="3"/>
  <c r="BO163" i="3"/>
  <c r="BP163" i="3" s="1"/>
  <c r="BH162" i="3"/>
  <c r="BH160" i="3"/>
  <c r="BI160" i="3" s="1"/>
  <c r="BO159" i="3"/>
  <c r="BP159" i="3" s="1"/>
  <c r="AK159" i="3"/>
  <c r="AL159" i="3" s="1"/>
  <c r="AM159" i="3" s="1"/>
  <c r="AN159" i="3" s="1"/>
  <c r="AR158" i="3"/>
  <c r="AS158" i="3" s="1"/>
  <c r="AT158" i="3" s="1"/>
  <c r="AU158" i="3" s="1"/>
  <c r="BF156" i="3"/>
  <c r="BG156" i="3" s="1"/>
  <c r="BH156" i="3" s="1"/>
  <c r="BI156" i="3" s="1"/>
  <c r="BM155" i="3"/>
  <c r="BN155" i="3" s="1"/>
  <c r="BO155" i="3" s="1"/>
  <c r="BP155" i="3" s="1"/>
  <c r="AR154" i="3"/>
  <c r="AS154" i="3" s="1"/>
  <c r="AT154" i="3" s="1"/>
  <c r="AU154" i="3" s="1"/>
  <c r="AY153" i="3"/>
  <c r="AZ153" i="3" s="1"/>
  <c r="BA153" i="3" s="1"/>
  <c r="AR131" i="3"/>
  <c r="AS131" i="3" s="1"/>
  <c r="AT131" i="3" s="1"/>
  <c r="AM162" i="3"/>
  <c r="BA157" i="3"/>
  <c r="AM155" i="3"/>
  <c r="AN155" i="3" s="1"/>
  <c r="AY151" i="3"/>
  <c r="AZ151" i="3" s="1"/>
  <c r="BA151" i="3" s="1"/>
  <c r="AK138" i="3"/>
  <c r="AL138" i="3" s="1"/>
  <c r="AM138" i="3" s="1"/>
  <c r="BM133" i="3"/>
  <c r="BN133" i="3" s="1"/>
  <c r="BO133" i="3" s="1"/>
  <c r="AY128" i="3"/>
  <c r="AZ128" i="3" s="1"/>
  <c r="BA128" i="3" s="1"/>
  <c r="BO151" i="3"/>
  <c r="AT150" i="3"/>
  <c r="AR149" i="3"/>
  <c r="AS149" i="3" s="1"/>
  <c r="AT149" i="3" s="1"/>
  <c r="BH148" i="3"/>
  <c r="BF147" i="3"/>
  <c r="BG147" i="3" s="1"/>
  <c r="BH147" i="3" s="1"/>
  <c r="AM147" i="3"/>
  <c r="AK146" i="3"/>
  <c r="AL146" i="3" s="1"/>
  <c r="AM146" i="3" s="1"/>
  <c r="BA145" i="3"/>
  <c r="AY144" i="3"/>
  <c r="AZ144" i="3" s="1"/>
  <c r="BA144" i="3" s="1"/>
  <c r="BO143" i="3"/>
  <c r="BM142" i="3"/>
  <c r="BN142" i="3" s="1"/>
  <c r="BO142" i="3" s="1"/>
  <c r="AT139" i="3"/>
  <c r="BM137" i="3"/>
  <c r="BN137" i="3" s="1"/>
  <c r="BO137" i="3" s="1"/>
  <c r="BH129" i="3"/>
  <c r="AM128" i="3"/>
  <c r="BA126" i="3"/>
  <c r="BH125" i="3"/>
  <c r="BH124" i="3"/>
  <c r="BO122" i="3"/>
  <c r="AR102" i="3"/>
  <c r="AS102" i="3" s="1"/>
  <c r="AT102" i="3" s="1"/>
  <c r="AU102" i="3" s="1"/>
  <c r="AM141" i="3"/>
  <c r="BM139" i="3"/>
  <c r="BN139" i="3" s="1"/>
  <c r="BO139" i="3" s="1"/>
  <c r="AK137" i="3"/>
  <c r="AL137" i="3" s="1"/>
  <c r="AM137" i="3" s="1"/>
  <c r="BH135" i="3"/>
  <c r="BM131" i="3"/>
  <c r="BN131" i="3" s="1"/>
  <c r="BO131" i="3" s="1"/>
  <c r="AM131" i="3"/>
  <c r="BA130" i="3"/>
  <c r="BO128" i="3"/>
  <c r="AT127" i="3"/>
  <c r="BH123" i="3"/>
  <c r="BF122" i="3"/>
  <c r="BG122" i="3" s="1"/>
  <c r="BH122" i="3" s="1"/>
  <c r="BF121" i="3"/>
  <c r="BG121" i="3" s="1"/>
  <c r="BH121" i="3" s="1"/>
  <c r="AY120" i="3"/>
  <c r="AZ120" i="3" s="1"/>
  <c r="BA120" i="3" s="1"/>
  <c r="AR119" i="3"/>
  <c r="AS119" i="3" s="1"/>
  <c r="AT119" i="3" s="1"/>
  <c r="AT152" i="3"/>
  <c r="AM139" i="3"/>
  <c r="BA138" i="3"/>
  <c r="AR136" i="3"/>
  <c r="AS136" i="3" s="1"/>
  <c r="AT136" i="3" s="1"/>
  <c r="BA129" i="3"/>
  <c r="BO127" i="3"/>
  <c r="AT126" i="3"/>
  <c r="BF117" i="3"/>
  <c r="BG117" i="3" s="1"/>
  <c r="BH117" i="3" s="1"/>
  <c r="BI117" i="3" s="1"/>
  <c r="BM104" i="3"/>
  <c r="BN104" i="3" s="1"/>
  <c r="BO104" i="3" s="1"/>
  <c r="BP104" i="3" s="1"/>
  <c r="BA140" i="3"/>
  <c r="BH137" i="3"/>
  <c r="AY135" i="3"/>
  <c r="AZ135" i="3" s="1"/>
  <c r="BA135" i="3" s="1"/>
  <c r="AM134" i="3"/>
  <c r="AR130" i="3"/>
  <c r="AS130" i="3" s="1"/>
  <c r="AT130" i="3" s="1"/>
  <c r="BF128" i="3"/>
  <c r="BG128" i="3" s="1"/>
  <c r="BH128" i="3" s="1"/>
  <c r="AK127" i="3"/>
  <c r="AL127" i="3" s="1"/>
  <c r="AM127" i="3" s="1"/>
  <c r="AN127" i="3" s="1"/>
  <c r="BH139" i="3"/>
  <c r="BF134" i="3"/>
  <c r="BG134" i="3" s="1"/>
  <c r="BH134" i="3" s="1"/>
  <c r="BH131" i="3"/>
  <c r="BA124" i="3"/>
  <c r="AY123" i="3"/>
  <c r="AZ123" i="3" s="1"/>
  <c r="BA123" i="3" s="1"/>
  <c r="BA122" i="3"/>
  <c r="AR138" i="3"/>
  <c r="AS138" i="3" s="1"/>
  <c r="AT138" i="3" s="1"/>
  <c r="BA137" i="3"/>
  <c r="BO136" i="3"/>
  <c r="AM136" i="3"/>
  <c r="BA132" i="3"/>
  <c r="AT125" i="3"/>
  <c r="BO157" i="3"/>
  <c r="BA155" i="3"/>
  <c r="BB155" i="3" s="1"/>
  <c r="AM153" i="3"/>
  <c r="AM151" i="3"/>
  <c r="BA149" i="3"/>
  <c r="BO147" i="3"/>
  <c r="BA141" i="3"/>
  <c r="AK133" i="3"/>
  <c r="AL133" i="3" s="1"/>
  <c r="AM133" i="3" s="1"/>
  <c r="AR123" i="3"/>
  <c r="AS123" i="3" s="1"/>
  <c r="AT123" i="3" s="1"/>
  <c r="AR121" i="3"/>
  <c r="AS121" i="3" s="1"/>
  <c r="AT121" i="3" s="1"/>
  <c r="AK120" i="3"/>
  <c r="AL120" i="3" s="1"/>
  <c r="AM120" i="3" s="1"/>
  <c r="BM118" i="3"/>
  <c r="BN118" i="3" s="1"/>
  <c r="BO118" i="3" s="1"/>
  <c r="BO140" i="3"/>
  <c r="BF136" i="3"/>
  <c r="BG136" i="3" s="1"/>
  <c r="BH136" i="3" s="1"/>
  <c r="AT135" i="3"/>
  <c r="BA134" i="3"/>
  <c r="AR132" i="3"/>
  <c r="AS132" i="3" s="1"/>
  <c r="AT132" i="3" s="1"/>
  <c r="BO130" i="3"/>
  <c r="AT129" i="3"/>
  <c r="BH127" i="3"/>
  <c r="AM126" i="3"/>
  <c r="AK121" i="3"/>
  <c r="AL121" i="3" s="1"/>
  <c r="AM121" i="3" s="1"/>
  <c r="AN121" i="3" s="1"/>
  <c r="AY139" i="3"/>
  <c r="AZ139" i="3" s="1"/>
  <c r="BA139" i="3" s="1"/>
  <c r="BO138" i="3"/>
  <c r="AY131" i="3"/>
  <c r="AZ131" i="3" s="1"/>
  <c r="BA131" i="3" s="1"/>
  <c r="AK125" i="3"/>
  <c r="AL125" i="3" s="1"/>
  <c r="AM125" i="3"/>
  <c r="AM124" i="3"/>
  <c r="AM123" i="3"/>
  <c r="AM122" i="3"/>
  <c r="AY118" i="3"/>
  <c r="AZ118" i="3" s="1"/>
  <c r="BA118" i="3" s="1"/>
  <c r="AM140" i="3"/>
  <c r="AK135" i="3"/>
  <c r="AL135" i="3" s="1"/>
  <c r="AM135" i="3" s="1"/>
  <c r="BH133" i="3"/>
  <c r="BO132" i="3"/>
  <c r="BF130" i="3"/>
  <c r="BG130" i="3" s="1"/>
  <c r="BH130" i="3" s="1"/>
  <c r="BM129" i="3"/>
  <c r="BN129" i="3" s="1"/>
  <c r="BO129" i="3" s="1"/>
  <c r="AK129" i="3"/>
  <c r="AL129" i="3" s="1"/>
  <c r="AM129" i="3" s="1"/>
  <c r="AR128" i="3"/>
  <c r="AS128" i="3" s="1"/>
  <c r="AT128" i="3" s="1"/>
  <c r="AY127" i="3"/>
  <c r="AZ127" i="3" s="1"/>
  <c r="BA127" i="3" s="1"/>
  <c r="BF126" i="3"/>
  <c r="BG126" i="3" s="1"/>
  <c r="BH126" i="3" s="1"/>
  <c r="BM125" i="3"/>
  <c r="BN125" i="3" s="1"/>
  <c r="BO125" i="3" s="1"/>
  <c r="BM120" i="3"/>
  <c r="BN120" i="3" s="1"/>
  <c r="BO120" i="3" s="1"/>
  <c r="BF119" i="3"/>
  <c r="BG119" i="3" s="1"/>
  <c r="BH119" i="3" s="1"/>
  <c r="BM116" i="3"/>
  <c r="BN116" i="3" s="1"/>
  <c r="BO116" i="3" s="1"/>
  <c r="BM124" i="3"/>
  <c r="BN124" i="3" s="1"/>
  <c r="BO124" i="3" s="1"/>
  <c r="AY106" i="3"/>
  <c r="AZ106" i="3" s="1"/>
  <c r="BA106" i="3" s="1"/>
  <c r="BB106" i="3" s="1"/>
  <c r="BM100" i="3"/>
  <c r="BN100" i="3" s="1"/>
  <c r="BO100" i="3" s="1"/>
  <c r="BP100" i="3" s="1"/>
  <c r="AT118" i="3"/>
  <c r="BA117" i="3"/>
  <c r="BB117" i="3" s="1"/>
  <c r="BF116" i="3"/>
  <c r="BG116" i="3" s="1"/>
  <c r="BH116" i="3" s="1"/>
  <c r="AR103" i="3"/>
  <c r="AS103" i="3" s="1"/>
  <c r="AT103" i="3" s="1"/>
  <c r="AU103" i="3" s="1"/>
  <c r="BO121" i="3"/>
  <c r="AK114" i="3"/>
  <c r="AL114" i="3" s="1"/>
  <c r="AM114" i="3" s="1"/>
  <c r="AM112" i="3"/>
  <c r="AN112" i="3" s="1"/>
  <c r="BA110" i="3"/>
  <c r="BB110" i="3" s="1"/>
  <c r="BF115" i="3"/>
  <c r="BG115" i="3" s="1"/>
  <c r="BH115" i="3" s="1"/>
  <c r="BM114" i="3"/>
  <c r="BN114" i="3" s="1"/>
  <c r="BO114" i="3" s="1"/>
  <c r="AY116" i="3"/>
  <c r="AZ116" i="3" s="1"/>
  <c r="BA116" i="3" s="1"/>
  <c r="BB116" i="3" s="1"/>
  <c r="BF101" i="3"/>
  <c r="BG101" i="3" s="1"/>
  <c r="BH101" i="3" s="1"/>
  <c r="BI101" i="3" s="1"/>
  <c r="BA125" i="3"/>
  <c r="BO123" i="3"/>
  <c r="AT122" i="3"/>
  <c r="AK118" i="3"/>
  <c r="AL118" i="3" s="1"/>
  <c r="AM118" i="3" s="1"/>
  <c r="AR117" i="3"/>
  <c r="AS117" i="3" s="1"/>
  <c r="AT117" i="3" s="1"/>
  <c r="AU117" i="3" s="1"/>
  <c r="BM112" i="3"/>
  <c r="BN112" i="3" s="1"/>
  <c r="BO112" i="3" s="1"/>
  <c r="BP112" i="3" s="1"/>
  <c r="BH111" i="3"/>
  <c r="BI111" i="3" s="1"/>
  <c r="AM110" i="3"/>
  <c r="AN110" i="3" s="1"/>
  <c r="AR116" i="3"/>
  <c r="AS116" i="3" s="1"/>
  <c r="AT116" i="3" s="1"/>
  <c r="BA115" i="3"/>
  <c r="BF113" i="3"/>
  <c r="BG113" i="3" s="1"/>
  <c r="BH113" i="3" s="1"/>
  <c r="BI113" i="3" s="1"/>
  <c r="BM106" i="3"/>
  <c r="BN106" i="3" s="1"/>
  <c r="BO106" i="3" s="1"/>
  <c r="BP106" i="3" s="1"/>
  <c r="AY105" i="3"/>
  <c r="AZ105" i="3" s="1"/>
  <c r="BA105" i="3" s="1"/>
  <c r="BB105" i="3" s="1"/>
  <c r="AR101" i="3"/>
  <c r="AS101" i="3" s="1"/>
  <c r="AT101" i="3" s="1"/>
  <c r="AU101" i="3" s="1"/>
  <c r="BO119" i="3"/>
  <c r="BO117" i="3"/>
  <c r="BP117" i="3" s="1"/>
  <c r="AM117" i="3"/>
  <c r="AN117" i="3" s="1"/>
  <c r="AM116" i="3"/>
  <c r="AT115" i="3"/>
  <c r="AT111" i="3"/>
  <c r="AU111" i="3" s="1"/>
  <c r="BH109" i="3"/>
  <c r="BI109" i="3" s="1"/>
  <c r="AM108" i="3"/>
  <c r="BH118" i="3"/>
  <c r="AY114" i="3"/>
  <c r="AZ114" i="3" s="1"/>
  <c r="BA114" i="3" s="1"/>
  <c r="BM103" i="3"/>
  <c r="BN103" i="3" s="1"/>
  <c r="BO103" i="3" s="1"/>
  <c r="BP103" i="3" s="1"/>
  <c r="BA112" i="3"/>
  <c r="BB112" i="3" s="1"/>
  <c r="BF102" i="3"/>
  <c r="BG102" i="3" s="1"/>
  <c r="BH102" i="3" s="1"/>
  <c r="BI102" i="3" s="1"/>
  <c r="AM107" i="3"/>
  <c r="AN107" i="3" s="1"/>
  <c r="AR106" i="3"/>
  <c r="AS106" i="3" s="1"/>
  <c r="AT106" i="3" s="1"/>
  <c r="AU106" i="3" s="1"/>
  <c r="AT105" i="3"/>
  <c r="AU105" i="3" s="1"/>
  <c r="AY103" i="3"/>
  <c r="AZ103" i="3" s="1"/>
  <c r="BA103" i="3" s="1"/>
  <c r="BB103" i="3" s="1"/>
  <c r="BO111" i="3"/>
  <c r="BP111" i="3" s="1"/>
  <c r="BH110" i="3"/>
  <c r="BI110" i="3" s="1"/>
  <c r="BA109" i="3"/>
  <c r="BB109" i="3" s="1"/>
  <c r="AT108" i="3"/>
  <c r="AY101" i="3"/>
  <c r="AZ101" i="3" s="1"/>
  <c r="BA101" i="3" s="1"/>
  <c r="BB101" i="3" s="1"/>
  <c r="AR100" i="3"/>
  <c r="AS100" i="3" s="1"/>
  <c r="AT100" i="3" s="1"/>
  <c r="AU100" i="3" s="1"/>
  <c r="AK99" i="3"/>
  <c r="AL99" i="3" s="1"/>
  <c r="AM99" i="3" s="1"/>
  <c r="AN99" i="3" s="1"/>
  <c r="BM97" i="3"/>
  <c r="BN97" i="3" s="1"/>
  <c r="BO97" i="3" s="1"/>
  <c r="BP97" i="3" s="1"/>
  <c r="BF96" i="3"/>
  <c r="BG96" i="3" s="1"/>
  <c r="BH96" i="3" s="1"/>
  <c r="BI96" i="3" s="1"/>
  <c r="AY95" i="3"/>
  <c r="AZ95" i="3" s="1"/>
  <c r="BA95" i="3" s="1"/>
  <c r="BB95" i="3" s="1"/>
  <c r="AR94" i="3"/>
  <c r="AS94" i="3" s="1"/>
  <c r="AT94" i="3" s="1"/>
  <c r="AK93" i="3"/>
  <c r="AL93" i="3" s="1"/>
  <c r="AM93" i="3" s="1"/>
  <c r="AN93" i="3" s="1"/>
  <c r="BM91" i="3"/>
  <c r="BN91" i="3" s="1"/>
  <c r="BO91" i="3" s="1"/>
  <c r="BP91" i="3" s="1"/>
  <c r="BF90" i="3"/>
  <c r="BG90" i="3" s="1"/>
  <c r="BH90" i="3" s="1"/>
  <c r="BI90" i="3" s="1"/>
  <c r="AY89" i="3"/>
  <c r="AZ89" i="3" s="1"/>
  <c r="BA89" i="3" s="1"/>
  <c r="BB89" i="3" s="1"/>
  <c r="AR88" i="3"/>
  <c r="AS88" i="3" s="1"/>
  <c r="AT88" i="3" s="1"/>
  <c r="AU88" i="3" s="1"/>
  <c r="AK87" i="3"/>
  <c r="AL87" i="3" s="1"/>
  <c r="AM87" i="3" s="1"/>
  <c r="AN87" i="3" s="1"/>
  <c r="BM85" i="3"/>
  <c r="BN85" i="3" s="1"/>
  <c r="BO85" i="3" s="1"/>
  <c r="BP85" i="3" s="1"/>
  <c r="AT113" i="3"/>
  <c r="AU113" i="3" s="1"/>
  <c r="AR104" i="3"/>
  <c r="AS104" i="3" s="1"/>
  <c r="AT104" i="3" s="1"/>
  <c r="AK105" i="3"/>
  <c r="AL105" i="3" s="1"/>
  <c r="AM105" i="3" s="1"/>
  <c r="AN105" i="3" s="1"/>
  <c r="AM102" i="3"/>
  <c r="AN102" i="3" s="1"/>
  <c r="AT112" i="3"/>
  <c r="AU112" i="3" s="1"/>
  <c r="AM111" i="3"/>
  <c r="AN111" i="3" s="1"/>
  <c r="BO109" i="3"/>
  <c r="BP109" i="3" s="1"/>
  <c r="BH108" i="3"/>
  <c r="BA107" i="3"/>
  <c r="BB107" i="3" s="1"/>
  <c r="AK103" i="3"/>
  <c r="AL103" i="3" s="1"/>
  <c r="AM103" i="3" s="1"/>
  <c r="AN103" i="3" s="1"/>
  <c r="AK101" i="3"/>
  <c r="AL101" i="3" s="1"/>
  <c r="AM101" i="3"/>
  <c r="AN101" i="3" s="1"/>
  <c r="BM99" i="3"/>
  <c r="BN99" i="3" s="1"/>
  <c r="BO99" i="3" s="1"/>
  <c r="BP99" i="3" s="1"/>
  <c r="BF98" i="3"/>
  <c r="BG98" i="3" s="1"/>
  <c r="BH98" i="3" s="1"/>
  <c r="BI98" i="3" s="1"/>
  <c r="AY97" i="3"/>
  <c r="AZ97" i="3" s="1"/>
  <c r="BA97" i="3" s="1"/>
  <c r="BB97" i="3" s="1"/>
  <c r="AR96" i="3"/>
  <c r="AS96" i="3" s="1"/>
  <c r="AT96" i="3" s="1"/>
  <c r="AU96" i="3" s="1"/>
  <c r="AK95" i="3"/>
  <c r="AL95" i="3" s="1"/>
  <c r="AM95" i="3" s="1"/>
  <c r="AN95" i="3" s="1"/>
  <c r="BM93" i="3"/>
  <c r="BN93" i="3" s="1"/>
  <c r="BO93" i="3" s="1"/>
  <c r="BP93" i="3" s="1"/>
  <c r="BF92" i="3"/>
  <c r="BG92" i="3" s="1"/>
  <c r="BH92" i="3" s="1"/>
  <c r="BI92" i="3" s="1"/>
  <c r="AY91" i="3"/>
  <c r="AZ91" i="3" s="1"/>
  <c r="BA91" i="3" s="1"/>
  <c r="BB91" i="3" s="1"/>
  <c r="AR90" i="3"/>
  <c r="AS90" i="3" s="1"/>
  <c r="AT90" i="3" s="1"/>
  <c r="AU90" i="3" s="1"/>
  <c r="AK89" i="3"/>
  <c r="AL89" i="3" s="1"/>
  <c r="AM89" i="3" s="1"/>
  <c r="AN89" i="3" s="1"/>
  <c r="BM87" i="3"/>
  <c r="BN87" i="3" s="1"/>
  <c r="BO87" i="3" s="1"/>
  <c r="BP87" i="3" s="1"/>
  <c r="BF86" i="3"/>
  <c r="BG86" i="3" s="1"/>
  <c r="BH86" i="3" s="1"/>
  <c r="BI86" i="3" s="1"/>
  <c r="AY85" i="3"/>
  <c r="AZ85" i="3" s="1"/>
  <c r="BA85" i="3" s="1"/>
  <c r="BB85" i="3" s="1"/>
  <c r="BF106" i="3"/>
  <c r="BG106" i="3" s="1"/>
  <c r="BH106" i="3" s="1"/>
  <c r="BI106" i="3" s="1"/>
  <c r="BM105" i="3"/>
  <c r="BN105" i="3" s="1"/>
  <c r="BO105" i="3" s="1"/>
  <c r="BP105" i="3" s="1"/>
  <c r="AM113" i="3"/>
  <c r="AN113" i="3" s="1"/>
  <c r="BH103" i="3"/>
  <c r="BI103" i="3" s="1"/>
  <c r="BM101" i="3"/>
  <c r="BN101" i="3" s="1"/>
  <c r="BO101" i="3" s="1"/>
  <c r="BP101" i="3" s="1"/>
  <c r="BA111" i="3"/>
  <c r="BB111" i="3" s="1"/>
  <c r="AT110" i="3"/>
  <c r="AU110" i="3" s="1"/>
  <c r="AM109" i="3"/>
  <c r="AN109" i="3" s="1"/>
  <c r="BO107" i="3"/>
  <c r="BP107" i="3" s="1"/>
  <c r="BF104" i="3"/>
  <c r="BG104" i="3" s="1"/>
  <c r="BH104" i="3" s="1"/>
  <c r="BF100" i="3"/>
  <c r="BG100" i="3" s="1"/>
  <c r="BH100" i="3" s="1"/>
  <c r="BI100" i="3" s="1"/>
  <c r="AY99" i="3"/>
  <c r="AZ99" i="3" s="1"/>
  <c r="BA99" i="3" s="1"/>
  <c r="BB99" i="3" s="1"/>
  <c r="AR98" i="3"/>
  <c r="AS98" i="3" s="1"/>
  <c r="AT98" i="3" s="1"/>
  <c r="AU98" i="3" s="1"/>
  <c r="AK97" i="3"/>
  <c r="AL97" i="3" s="1"/>
  <c r="AM97" i="3" s="1"/>
  <c r="AN97" i="3" s="1"/>
  <c r="BM95" i="3"/>
  <c r="BN95" i="3" s="1"/>
  <c r="BO95" i="3" s="1"/>
  <c r="BP95" i="3" s="1"/>
  <c r="BF94" i="3"/>
  <c r="BG94" i="3" s="1"/>
  <c r="BH94" i="3" s="1"/>
  <c r="AY93" i="3"/>
  <c r="AZ93" i="3" s="1"/>
  <c r="BA93" i="3" s="1"/>
  <c r="BB93" i="3" s="1"/>
  <c r="AR92" i="3"/>
  <c r="AS92" i="3" s="1"/>
  <c r="AT92" i="3" s="1"/>
  <c r="AU92" i="3" s="1"/>
  <c r="AK91" i="3"/>
  <c r="AL91" i="3" s="1"/>
  <c r="AM91" i="3" s="1"/>
  <c r="AN91" i="3" s="1"/>
  <c r="BM89" i="3"/>
  <c r="BN89" i="3" s="1"/>
  <c r="BO89" i="3" s="1"/>
  <c r="BP89" i="3" s="1"/>
  <c r="BF88" i="3"/>
  <c r="BG88" i="3" s="1"/>
  <c r="BH88" i="3" s="1"/>
  <c r="BI88" i="3" s="1"/>
  <c r="AY87" i="3"/>
  <c r="AZ87" i="3" s="1"/>
  <c r="BA87" i="3" s="1"/>
  <c r="BB87" i="3" s="1"/>
  <c r="AR86" i="3"/>
  <c r="AS86" i="3" s="1"/>
  <c r="AT86" i="3" s="1"/>
  <c r="AU86" i="3" s="1"/>
  <c r="AK85" i="3"/>
  <c r="AL85" i="3" s="1"/>
  <c r="AM85" i="3" s="1"/>
  <c r="AN85" i="3" s="1"/>
  <c r="BN84" i="3"/>
  <c r="BO84" i="3" s="1"/>
  <c r="BP84" i="3" s="1"/>
  <c r="AS84" i="3"/>
  <c r="AT84" i="3" s="1"/>
  <c r="AU84" i="3" s="1"/>
  <c r="AL84" i="3"/>
  <c r="AM84" i="3" s="1"/>
  <c r="AN84" i="3" s="1"/>
  <c r="AZ84" i="3"/>
  <c r="BA84" i="3" s="1"/>
  <c r="BB84" i="3" s="1"/>
  <c r="BG84" i="3"/>
  <c r="BH84" i="3" s="1"/>
  <c r="BI84" i="3" s="1"/>
  <c r="AD211" i="3"/>
  <c r="AE211" i="3" s="1"/>
  <c r="AF211" i="3" s="1"/>
  <c r="AG211" i="3" s="1"/>
  <c r="AD203" i="3"/>
  <c r="AE203" i="3" s="1"/>
  <c r="AF203" i="3" s="1"/>
  <c r="AG203" i="3" s="1"/>
  <c r="AD195" i="3"/>
  <c r="AE195" i="3" s="1"/>
  <c r="AF195" i="3" s="1"/>
  <c r="AG195" i="3" s="1"/>
  <c r="AD187" i="3"/>
  <c r="AE187" i="3" s="1"/>
  <c r="AF187" i="3" s="1"/>
  <c r="AG187" i="3" s="1"/>
  <c r="AD179" i="3"/>
  <c r="AE179" i="3" s="1"/>
  <c r="AF179" i="3" s="1"/>
  <c r="AG179" i="3" s="1"/>
  <c r="AD171" i="3"/>
  <c r="AE171" i="3" s="1"/>
  <c r="AF171" i="3" s="1"/>
  <c r="AD163" i="3"/>
  <c r="AE163" i="3" s="1"/>
  <c r="AF163" i="3" s="1"/>
  <c r="AG163" i="3" s="1"/>
  <c r="AD155" i="3"/>
  <c r="AE155" i="3" s="1"/>
  <c r="AF155" i="3" s="1"/>
  <c r="AG155" i="3" s="1"/>
  <c r="AD147" i="3"/>
  <c r="AE147" i="3" s="1"/>
  <c r="AF147" i="3" s="1"/>
  <c r="AG147" i="3" s="1"/>
  <c r="AD139" i="3"/>
  <c r="AE139" i="3" s="1"/>
  <c r="AF139" i="3" s="1"/>
  <c r="AD131" i="3"/>
  <c r="AE131" i="3" s="1"/>
  <c r="AF131" i="3" s="1"/>
  <c r="AD123" i="3"/>
  <c r="AE123" i="3" s="1"/>
  <c r="AF123" i="3" s="1"/>
  <c r="AD115" i="3"/>
  <c r="AE115" i="3" s="1"/>
  <c r="AF115" i="3" s="1"/>
  <c r="AD107" i="3"/>
  <c r="AE107" i="3" s="1"/>
  <c r="AF107" i="3" s="1"/>
  <c r="AG107" i="3" s="1"/>
  <c r="AD99" i="3"/>
  <c r="AE99" i="3" s="1"/>
  <c r="AF99" i="3" s="1"/>
  <c r="AG99" i="3" s="1"/>
  <c r="AD91" i="3"/>
  <c r="AE91" i="3" s="1"/>
  <c r="AF91" i="3" s="1"/>
  <c r="AG91" i="3" s="1"/>
  <c r="AD209" i="3"/>
  <c r="AE209" i="3" s="1"/>
  <c r="AF209" i="3" s="1"/>
  <c r="AG209" i="3" s="1"/>
  <c r="AD201" i="3"/>
  <c r="AE201" i="3" s="1"/>
  <c r="AF201" i="3" s="1"/>
  <c r="AG201" i="3" s="1"/>
  <c r="AD193" i="3"/>
  <c r="AE193" i="3" s="1"/>
  <c r="AF193" i="3" s="1"/>
  <c r="AG193" i="3" s="1"/>
  <c r="AD185" i="3"/>
  <c r="AE185" i="3" s="1"/>
  <c r="AF185" i="3" s="1"/>
  <c r="AG185" i="3" s="1"/>
  <c r="AD177" i="3"/>
  <c r="AE177" i="3" s="1"/>
  <c r="AF177" i="3" s="1"/>
  <c r="AG177" i="3" s="1"/>
  <c r="AD169" i="3"/>
  <c r="AE169" i="3" s="1"/>
  <c r="AF169" i="3" s="1"/>
  <c r="AD161" i="3"/>
  <c r="AE161" i="3" s="1"/>
  <c r="AF161" i="3" s="1"/>
  <c r="AG161" i="3" s="1"/>
  <c r="AD153" i="3"/>
  <c r="AE153" i="3" s="1"/>
  <c r="AF153" i="3"/>
  <c r="AG153" i="3" s="1"/>
  <c r="AD145" i="3"/>
  <c r="AE145" i="3" s="1"/>
  <c r="AF145" i="3" s="1"/>
  <c r="AD137" i="3"/>
  <c r="AE137" i="3" s="1"/>
  <c r="AF137" i="3" s="1"/>
  <c r="AD129" i="3"/>
  <c r="AE129" i="3" s="1"/>
  <c r="AF129" i="3" s="1"/>
  <c r="AD121" i="3"/>
  <c r="AE121" i="3" s="1"/>
  <c r="AF121" i="3" s="1"/>
  <c r="AD113" i="3"/>
  <c r="AE113" i="3" s="1"/>
  <c r="AF113" i="3" s="1"/>
  <c r="AG113" i="3" s="1"/>
  <c r="AD105" i="3"/>
  <c r="AE105" i="3" s="1"/>
  <c r="AF105" i="3" s="1"/>
  <c r="AG105" i="3" s="1"/>
  <c r="AD97" i="3"/>
  <c r="AE97" i="3" s="1"/>
  <c r="AF97" i="3" s="1"/>
  <c r="AG97" i="3" s="1"/>
  <c r="AD89" i="3"/>
  <c r="AE89" i="3" s="1"/>
  <c r="AF89" i="3" s="1"/>
  <c r="AG89" i="3" s="1"/>
  <c r="AD207" i="3"/>
  <c r="AE207" i="3" s="1"/>
  <c r="AF207" i="3" s="1"/>
  <c r="AD199" i="3"/>
  <c r="AE199" i="3" s="1"/>
  <c r="AF199" i="3" s="1"/>
  <c r="AD191" i="3"/>
  <c r="AE191" i="3" s="1"/>
  <c r="AF191" i="3" s="1"/>
  <c r="AG191" i="3" s="1"/>
  <c r="AD183" i="3"/>
  <c r="AE183" i="3" s="1"/>
  <c r="AF183" i="3" s="1"/>
  <c r="AG183" i="3" s="1"/>
  <c r="AD175" i="3"/>
  <c r="AE175" i="3" s="1"/>
  <c r="AF175" i="3" s="1"/>
  <c r="AG175" i="3" s="1"/>
  <c r="AD167" i="3"/>
  <c r="AE167" i="3" s="1"/>
  <c r="AF167" i="3" s="1"/>
  <c r="AG167" i="3" s="1"/>
  <c r="AD159" i="3"/>
  <c r="AE159" i="3" s="1"/>
  <c r="AF159" i="3" s="1"/>
  <c r="AG159" i="3" s="1"/>
  <c r="AD151" i="3"/>
  <c r="AE151" i="3" s="1"/>
  <c r="AF151" i="3" s="1"/>
  <c r="AD143" i="3"/>
  <c r="AE143" i="3" s="1"/>
  <c r="AF143" i="3" s="1"/>
  <c r="AD135" i="3"/>
  <c r="AE135" i="3" s="1"/>
  <c r="AF135" i="3"/>
  <c r="AD127" i="3"/>
  <c r="AE127" i="3" s="1"/>
  <c r="AF127" i="3" s="1"/>
  <c r="AD119" i="3"/>
  <c r="AE119" i="3" s="1"/>
  <c r="AF119" i="3" s="1"/>
  <c r="AD111" i="3"/>
  <c r="AE111" i="3" s="1"/>
  <c r="AF111" i="3" s="1"/>
  <c r="AG111" i="3" s="1"/>
  <c r="AD103" i="3"/>
  <c r="AE103" i="3" s="1"/>
  <c r="AF103" i="3" s="1"/>
  <c r="AG103" i="3" s="1"/>
  <c r="AD95" i="3"/>
  <c r="AE95" i="3" s="1"/>
  <c r="AF95" i="3" s="1"/>
  <c r="AG95" i="3" s="1"/>
  <c r="AD87" i="3"/>
  <c r="AE87" i="3" s="1"/>
  <c r="AF87" i="3" s="1"/>
  <c r="AG87" i="3" s="1"/>
  <c r="AD213" i="3"/>
  <c r="AE213" i="3" s="1"/>
  <c r="AF213" i="3" s="1"/>
  <c r="AD205" i="3"/>
  <c r="AE205" i="3" s="1"/>
  <c r="AF205" i="3" s="1"/>
  <c r="AD197" i="3"/>
  <c r="AE197" i="3" s="1"/>
  <c r="AF197" i="3" s="1"/>
  <c r="AG197" i="3" s="1"/>
  <c r="AD189" i="3"/>
  <c r="AE189" i="3" s="1"/>
  <c r="AF189" i="3" s="1"/>
  <c r="AG189" i="3" s="1"/>
  <c r="AD181" i="3"/>
  <c r="AE181" i="3" s="1"/>
  <c r="AF181" i="3" s="1"/>
  <c r="AG181" i="3" s="1"/>
  <c r="AD173" i="3"/>
  <c r="AE173" i="3" s="1"/>
  <c r="AF173" i="3" s="1"/>
  <c r="AG173" i="3" s="1"/>
  <c r="AD165" i="3"/>
  <c r="AE165" i="3" s="1"/>
  <c r="AF165" i="3" s="1"/>
  <c r="AD157" i="3"/>
  <c r="AE157" i="3" s="1"/>
  <c r="AF157" i="3" s="1"/>
  <c r="AD149" i="3"/>
  <c r="AE149" i="3" s="1"/>
  <c r="AF149" i="3" s="1"/>
  <c r="AD141" i="3"/>
  <c r="AE141" i="3" s="1"/>
  <c r="AF141" i="3" s="1"/>
  <c r="AD133" i="3"/>
  <c r="AE133" i="3" s="1"/>
  <c r="AF133" i="3" s="1"/>
  <c r="AD125" i="3"/>
  <c r="AE125" i="3" s="1"/>
  <c r="AF125" i="3" s="1"/>
  <c r="AG125" i="3" s="1"/>
  <c r="AD117" i="3"/>
  <c r="AE117" i="3" s="1"/>
  <c r="AF117" i="3" s="1"/>
  <c r="AG117" i="3" s="1"/>
  <c r="AD109" i="3"/>
  <c r="AE109" i="3" s="1"/>
  <c r="AF109" i="3" s="1"/>
  <c r="AG109" i="3" s="1"/>
  <c r="AD101" i="3"/>
  <c r="AE101" i="3" s="1"/>
  <c r="AF101" i="3" s="1"/>
  <c r="AG101" i="3" s="1"/>
  <c r="AD93" i="3"/>
  <c r="AE93" i="3" s="1"/>
  <c r="AF93" i="3" s="1"/>
  <c r="AG93" i="3" s="1"/>
  <c r="AD85" i="3"/>
  <c r="AE85" i="3" s="1"/>
  <c r="AF85" i="3" s="1"/>
  <c r="AG85" i="3" s="1"/>
  <c r="AE84" i="3"/>
  <c r="AF84" i="3" s="1"/>
  <c r="AG84" i="3" s="1"/>
  <c r="E205" i="3"/>
  <c r="BP205" i="3" s="1"/>
  <c r="E162" i="3"/>
  <c r="AG162" i="3" s="1"/>
  <c r="E204" i="3"/>
  <c r="BI204" i="3" s="1"/>
  <c r="E213" i="3"/>
  <c r="BP213" i="3" s="1"/>
  <c r="E134" i="3"/>
  <c r="Z134" i="3" s="1"/>
  <c r="E168" i="3"/>
  <c r="AG168" i="3" s="1"/>
  <c r="E212" i="3"/>
  <c r="Z212" i="3" s="1"/>
  <c r="E116" i="3"/>
  <c r="AG116" i="3" s="1"/>
  <c r="E152" i="3"/>
  <c r="AG152" i="3" s="1"/>
  <c r="E115" i="3"/>
  <c r="BP115" i="3" s="1"/>
  <c r="E151" i="3"/>
  <c r="BI151" i="3" s="1"/>
  <c r="E114" i="3"/>
  <c r="AG114" i="3" s="1"/>
  <c r="E148" i="3"/>
  <c r="Z148" i="3" s="1"/>
  <c r="E150" i="3"/>
  <c r="Z150" i="3" s="1"/>
  <c r="E123" i="3"/>
  <c r="Z123" i="3" s="1"/>
  <c r="E122" i="3"/>
  <c r="AG122" i="3" s="1"/>
  <c r="E121" i="3"/>
  <c r="Z121" i="3" s="1"/>
  <c r="E120" i="3"/>
  <c r="E119" i="3"/>
  <c r="AN119" i="3" s="1"/>
  <c r="E118" i="3"/>
  <c r="AG118" i="3" s="1"/>
  <c r="E142" i="3"/>
  <c r="AN142" i="3" s="1"/>
  <c r="E166" i="3"/>
  <c r="Z166" i="3" s="1"/>
  <c r="E141" i="3"/>
  <c r="E149" i="3"/>
  <c r="BI149" i="3" s="1"/>
  <c r="E165" i="3"/>
  <c r="E139" i="3"/>
  <c r="E147" i="3"/>
  <c r="BB147" i="3" s="1"/>
  <c r="E130" i="3"/>
  <c r="AG130" i="3" s="1"/>
  <c r="E138" i="3"/>
  <c r="Z138" i="3" s="1"/>
  <c r="E146" i="3"/>
  <c r="AG146" i="3" s="1"/>
  <c r="E164" i="3"/>
  <c r="E137" i="3"/>
  <c r="E145" i="3"/>
  <c r="AU145" i="3" s="1"/>
  <c r="E173" i="3"/>
  <c r="BB173" i="3" s="1"/>
  <c r="E136" i="3"/>
  <c r="Z136" i="3" s="1"/>
  <c r="E172" i="3"/>
  <c r="E143" i="3"/>
  <c r="AN143" i="3" s="1"/>
  <c r="E135" i="3"/>
  <c r="BP135" i="3" s="1"/>
  <c r="E171" i="3"/>
  <c r="BB171" i="3" s="1"/>
  <c r="E140" i="3"/>
  <c r="E144" i="3"/>
  <c r="Z144" i="3" s="1"/>
  <c r="E170" i="3"/>
  <c r="AG170" i="3" s="1"/>
  <c r="E153" i="3"/>
  <c r="E169" i="3"/>
  <c r="BB169" i="3" s="1"/>
  <c r="E125" i="3"/>
  <c r="E124" i="3"/>
  <c r="AG124" i="3" s="1"/>
  <c r="E133" i="3"/>
  <c r="E132" i="3"/>
  <c r="Z132" i="3" s="1"/>
  <c r="E131" i="3"/>
  <c r="Z131" i="3" s="1"/>
  <c r="E129" i="3"/>
  <c r="E128" i="3"/>
  <c r="Z128" i="3" s="1"/>
  <c r="E127" i="3"/>
  <c r="Z127" i="3" s="1"/>
  <c r="E94" i="3"/>
  <c r="BB94" i="3" s="1"/>
  <c r="E126" i="3"/>
  <c r="AG126" i="3" s="1"/>
  <c r="Z103" i="3"/>
  <c r="Z186" i="3"/>
  <c r="Z102" i="3"/>
  <c r="Z208" i="3"/>
  <c r="Z160" i="3"/>
  <c r="Z112" i="3"/>
  <c r="Z88" i="3"/>
  <c r="Z99" i="3"/>
  <c r="Z206" i="3"/>
  <c r="Z110" i="3"/>
  <c r="Z97" i="3"/>
  <c r="Z184" i="3"/>
  <c r="Z198" i="3"/>
  <c r="Z196" i="3"/>
  <c r="Z174" i="3"/>
  <c r="Z114" i="3"/>
  <c r="Z92" i="3"/>
  <c r="Z90" i="3"/>
  <c r="Z86" i="3"/>
  <c r="Z192" i="3"/>
  <c r="Z180" i="3"/>
  <c r="Z156" i="3"/>
  <c r="Z190" i="3"/>
  <c r="Z178" i="3"/>
  <c r="Z154" i="3"/>
  <c r="Z142" i="3"/>
  <c r="Z130" i="3"/>
  <c r="Z106" i="3"/>
  <c r="Z84" i="3"/>
  <c r="W94" i="3"/>
  <c r="X94" i="3" s="1"/>
  <c r="Y94" i="3" s="1"/>
  <c r="W170" i="3"/>
  <c r="X170" i="3" s="1"/>
  <c r="Y170" i="3" s="1"/>
  <c r="W122" i="3"/>
  <c r="X122" i="3" s="1"/>
  <c r="Y122" i="3" s="1"/>
  <c r="Z122" i="3" s="1"/>
  <c r="W188" i="3"/>
  <c r="X188" i="3" s="1"/>
  <c r="Y188" i="3" s="1"/>
  <c r="Z188" i="3" s="1"/>
  <c r="W140" i="3"/>
  <c r="X140" i="3" s="1"/>
  <c r="Y140" i="3" s="1"/>
  <c r="W152" i="3"/>
  <c r="X152" i="3" s="1"/>
  <c r="Y152" i="3" s="1"/>
  <c r="W120" i="3"/>
  <c r="X120" i="3" s="1"/>
  <c r="Y120" i="3" s="1"/>
  <c r="W101" i="3"/>
  <c r="X101" i="3" s="1"/>
  <c r="Y101" i="3" s="1"/>
  <c r="Z101" i="3" s="1"/>
  <c r="W158" i="3"/>
  <c r="X158" i="3" s="1"/>
  <c r="Y158" i="3" s="1"/>
  <c r="Z158" i="3" s="1"/>
  <c r="W129" i="3"/>
  <c r="X129" i="3" s="1"/>
  <c r="Y129" i="3" s="1"/>
  <c r="Z129" i="3" s="1"/>
  <c r="W100" i="3"/>
  <c r="X100" i="3" s="1"/>
  <c r="Y100" i="3" s="1"/>
  <c r="Z100" i="3" s="1"/>
  <c r="W176" i="3"/>
  <c r="X176" i="3" s="1"/>
  <c r="Y176" i="3" s="1"/>
  <c r="Z176" i="3" s="1"/>
  <c r="W182" i="3"/>
  <c r="X182" i="3" s="1"/>
  <c r="Y182" i="3" s="1"/>
  <c r="Z182" i="3" s="1"/>
  <c r="W200" i="3"/>
  <c r="X200" i="3" s="1"/>
  <c r="Y200" i="3" s="1"/>
  <c r="Z200" i="3" s="1"/>
  <c r="W118" i="3"/>
  <c r="X118" i="3" s="1"/>
  <c r="Y118" i="3" s="1"/>
  <c r="W194" i="3"/>
  <c r="X194" i="3" s="1"/>
  <c r="Y194" i="3" s="1"/>
  <c r="Z194" i="3" s="1"/>
  <c r="W146" i="3"/>
  <c r="X146" i="3" s="1"/>
  <c r="Y146" i="3" s="1"/>
  <c r="W98" i="3"/>
  <c r="X98" i="3" s="1"/>
  <c r="Y98" i="3" s="1"/>
  <c r="Z98" i="3" s="1"/>
  <c r="W164" i="3"/>
  <c r="X164" i="3" s="1"/>
  <c r="Y164" i="3" s="1"/>
  <c r="W126" i="3"/>
  <c r="X126" i="3" s="1"/>
  <c r="Y126" i="3" s="1"/>
  <c r="W125" i="3"/>
  <c r="X125" i="3" s="1"/>
  <c r="Y125" i="3" s="1"/>
  <c r="Z125" i="3" s="1"/>
  <c r="W96" i="3"/>
  <c r="X96" i="3" s="1"/>
  <c r="Y96" i="3" s="1"/>
  <c r="Z96" i="3" s="1"/>
  <c r="W124" i="3"/>
  <c r="X124" i="3" s="1"/>
  <c r="Y124" i="3" s="1"/>
  <c r="W105" i="3"/>
  <c r="X105" i="3" s="1"/>
  <c r="Y105" i="3" s="1"/>
  <c r="Z105" i="3" s="1"/>
  <c r="Y91" i="3"/>
  <c r="Z91" i="3" s="1"/>
  <c r="Y115" i="3"/>
  <c r="Y87" i="3"/>
  <c r="Z87" i="3" s="1"/>
  <c r="Y111" i="3"/>
  <c r="Z111" i="3" s="1"/>
  <c r="Y135" i="3"/>
  <c r="X141" i="3"/>
  <c r="Y141" i="3" s="1"/>
  <c r="X147" i="3"/>
  <c r="Y147" i="3" s="1"/>
  <c r="Z147" i="3" s="1"/>
  <c r="X153" i="3"/>
  <c r="Y153" i="3" s="1"/>
  <c r="X159" i="3"/>
  <c r="Y159" i="3" s="1"/>
  <c r="Z159" i="3" s="1"/>
  <c r="X165" i="3"/>
  <c r="Y165" i="3" s="1"/>
  <c r="Z165" i="3" s="1"/>
  <c r="X171" i="3"/>
  <c r="Y171" i="3" s="1"/>
  <c r="Z171" i="3" s="1"/>
  <c r="X177" i="3"/>
  <c r="Y177" i="3" s="1"/>
  <c r="Z177" i="3" s="1"/>
  <c r="X183" i="3"/>
  <c r="Y183" i="3" s="1"/>
  <c r="Z183" i="3" s="1"/>
  <c r="X189" i="3"/>
  <c r="Y189" i="3" s="1"/>
  <c r="Z189" i="3" s="1"/>
  <c r="X195" i="3"/>
  <c r="Y195" i="3" s="1"/>
  <c r="Z195" i="3" s="1"/>
  <c r="X201" i="3"/>
  <c r="Y201" i="3" s="1"/>
  <c r="Z201" i="3" s="1"/>
  <c r="X209" i="3"/>
  <c r="Y209" i="3" s="1"/>
  <c r="Z209" i="3" s="1"/>
  <c r="Y93" i="3"/>
  <c r="Z93" i="3" s="1"/>
  <c r="Y117" i="3"/>
  <c r="Z117" i="3" s="1"/>
  <c r="X137" i="3"/>
  <c r="Y137" i="3" s="1"/>
  <c r="X143" i="3"/>
  <c r="Y143" i="3" s="1"/>
  <c r="Z143" i="3" s="1"/>
  <c r="X149" i="3"/>
  <c r="Y149" i="3" s="1"/>
  <c r="Z149" i="3" s="1"/>
  <c r="X155" i="3"/>
  <c r="Y155" i="3" s="1"/>
  <c r="Z155" i="3" s="1"/>
  <c r="X161" i="3"/>
  <c r="Y161" i="3" s="1"/>
  <c r="Z161" i="3" s="1"/>
  <c r="X167" i="3"/>
  <c r="Y167" i="3" s="1"/>
  <c r="Z167" i="3" s="1"/>
  <c r="X173" i="3"/>
  <c r="Y173" i="3" s="1"/>
  <c r="X179" i="3"/>
  <c r="Y179" i="3" s="1"/>
  <c r="Z179" i="3" s="1"/>
  <c r="X185" i="3"/>
  <c r="Y185" i="3" s="1"/>
  <c r="Z185" i="3" s="1"/>
  <c r="X191" i="3"/>
  <c r="Y191" i="3" s="1"/>
  <c r="Z191" i="3" s="1"/>
  <c r="X197" i="3"/>
  <c r="Y197" i="3" s="1"/>
  <c r="Z197" i="3" s="1"/>
  <c r="X203" i="3"/>
  <c r="Y203" i="3" s="1"/>
  <c r="Z203" i="3" s="1"/>
  <c r="X207" i="3"/>
  <c r="Y207" i="3" s="1"/>
  <c r="Y107" i="3"/>
  <c r="Z107" i="3" s="1"/>
  <c r="Y89" i="3"/>
  <c r="Z89" i="3" s="1"/>
  <c r="Y113" i="3"/>
  <c r="Z113" i="3" s="1"/>
  <c r="X211" i="3"/>
  <c r="Y211" i="3" s="1"/>
  <c r="Z211" i="3" s="1"/>
  <c r="Y85" i="3"/>
  <c r="Z85" i="3" s="1"/>
  <c r="Y109" i="3"/>
  <c r="Z109" i="3" s="1"/>
  <c r="Y133" i="3"/>
  <c r="Y95" i="3"/>
  <c r="Z95" i="3" s="1"/>
  <c r="Y119" i="3"/>
  <c r="X139" i="3"/>
  <c r="Y139" i="3" s="1"/>
  <c r="Z139" i="3" s="1"/>
  <c r="X145" i="3"/>
  <c r="Y145" i="3" s="1"/>
  <c r="X151" i="3"/>
  <c r="Y151" i="3" s="1"/>
  <c r="X157" i="3"/>
  <c r="Y157" i="3" s="1"/>
  <c r="X163" i="3"/>
  <c r="Y163" i="3" s="1"/>
  <c r="Z163" i="3" s="1"/>
  <c r="X169" i="3"/>
  <c r="Y169" i="3" s="1"/>
  <c r="X175" i="3"/>
  <c r="Y175" i="3" s="1"/>
  <c r="Z175" i="3" s="1"/>
  <c r="X181" i="3"/>
  <c r="Y181" i="3" s="1"/>
  <c r="Z181" i="3" s="1"/>
  <c r="X187" i="3"/>
  <c r="Y187" i="3" s="1"/>
  <c r="Z187" i="3" s="1"/>
  <c r="X193" i="3"/>
  <c r="Y193" i="3" s="1"/>
  <c r="Z193" i="3" s="1"/>
  <c r="X199" i="3"/>
  <c r="Y199" i="3" s="1"/>
  <c r="X205" i="3"/>
  <c r="Y205" i="3" s="1"/>
  <c r="X213" i="3"/>
  <c r="Y213" i="3" s="1"/>
  <c r="Z213" i="3" s="1"/>
  <c r="R84" i="3"/>
  <c r="S84" i="3" s="1"/>
  <c r="I84" i="3"/>
  <c r="J84" i="3" s="1"/>
  <c r="K84" i="3" s="1"/>
  <c r="L84" i="3" s="1"/>
  <c r="Z168" i="3" l="1"/>
  <c r="BB131" i="3"/>
  <c r="BI121" i="3"/>
  <c r="BB161" i="3"/>
  <c r="BB90" i="3"/>
  <c r="L132" i="3"/>
  <c r="L115" i="3"/>
  <c r="L212" i="3"/>
  <c r="L142" i="3"/>
  <c r="S131" i="3"/>
  <c r="S170" i="3"/>
  <c r="S156" i="3"/>
  <c r="S195" i="3"/>
  <c r="S137" i="3"/>
  <c r="S213" i="3"/>
  <c r="S163" i="3"/>
  <c r="S104" i="3"/>
  <c r="S166" i="3"/>
  <c r="AU205" i="3"/>
  <c r="BB170" i="3"/>
  <c r="Z204" i="3"/>
  <c r="AG123" i="3"/>
  <c r="AN120" i="3"/>
  <c r="AU125" i="3"/>
  <c r="BI147" i="3"/>
  <c r="AN168" i="3"/>
  <c r="AN90" i="3"/>
  <c r="BI87" i="3"/>
  <c r="L157" i="3"/>
  <c r="L206" i="3"/>
  <c r="L171" i="3"/>
  <c r="L101" i="3"/>
  <c r="L168" i="3"/>
  <c r="L151" i="3"/>
  <c r="L167" i="3"/>
  <c r="S194" i="3"/>
  <c r="S147" i="3"/>
  <c r="S112" i="3"/>
  <c r="S143" i="3"/>
  <c r="S161" i="3"/>
  <c r="S126" i="3"/>
  <c r="S140" i="3"/>
  <c r="S108" i="3"/>
  <c r="BB157" i="3"/>
  <c r="AG199" i="3"/>
  <c r="BI115" i="3"/>
  <c r="BP116" i="3"/>
  <c r="AN135" i="3"/>
  <c r="AU141" i="3"/>
  <c r="BP141" i="3"/>
  <c r="BI143" i="3"/>
  <c r="L169" i="3"/>
  <c r="L108" i="3"/>
  <c r="L90" i="3"/>
  <c r="L128" i="3"/>
  <c r="S167" i="3"/>
  <c r="S159" i="3"/>
  <c r="S173" i="3"/>
  <c r="S138" i="3"/>
  <c r="S152" i="3"/>
  <c r="S94" i="3"/>
  <c r="AG157" i="3"/>
  <c r="AG207" i="3"/>
  <c r="AG139" i="3"/>
  <c r="AN140" i="3"/>
  <c r="AN152" i="3"/>
  <c r="BP126" i="3"/>
  <c r="L134" i="3"/>
  <c r="L148" i="3"/>
  <c r="L125" i="3"/>
  <c r="L198" i="3"/>
  <c r="L140" i="3"/>
  <c r="L213" i="3"/>
  <c r="S157" i="3"/>
  <c r="S98" i="3"/>
  <c r="S171" i="3"/>
  <c r="S124" i="3"/>
  <c r="S150" i="3"/>
  <c r="S198" i="3"/>
  <c r="S164" i="3"/>
  <c r="S106" i="3"/>
  <c r="AG165" i="3"/>
  <c r="BB118" i="3"/>
  <c r="AN145" i="3"/>
  <c r="AU153" i="3"/>
  <c r="BI199" i="3"/>
  <c r="L146" i="3"/>
  <c r="L207" i="3"/>
  <c r="L160" i="3"/>
  <c r="L137" i="3"/>
  <c r="L114" i="3"/>
  <c r="L152" i="3"/>
  <c r="L144" i="3"/>
  <c r="L202" i="3"/>
  <c r="S169" i="3"/>
  <c r="S136" i="3"/>
  <c r="S162" i="3"/>
  <c r="S115" i="3"/>
  <c r="S206" i="3"/>
  <c r="S141" i="3"/>
  <c r="S118" i="3"/>
  <c r="S120" i="3"/>
  <c r="BP137" i="3"/>
  <c r="AN199" i="3"/>
  <c r="AN206" i="3"/>
  <c r="BP168" i="3"/>
  <c r="L205" i="3"/>
  <c r="L158" i="3"/>
  <c r="L172" i="3"/>
  <c r="L149" i="3"/>
  <c r="L126" i="3"/>
  <c r="L164" i="3"/>
  <c r="L129" i="3"/>
  <c r="L94" i="3"/>
  <c r="L203" i="3"/>
  <c r="S87" i="3"/>
  <c r="S148" i="3"/>
  <c r="S153" i="3"/>
  <c r="BP170" i="3"/>
  <c r="BI207" i="3"/>
  <c r="AG135" i="3"/>
  <c r="Z162" i="3"/>
  <c r="BI126" i="3"/>
  <c r="AU139" i="3"/>
  <c r="BB128" i="3"/>
  <c r="AU148" i="3"/>
  <c r="BP207" i="3"/>
  <c r="BI173" i="3"/>
  <c r="L111" i="3"/>
  <c r="L199" i="3"/>
  <c r="L106" i="3"/>
  <c r="L204" i="3"/>
  <c r="S122" i="3"/>
  <c r="S160" i="3"/>
  <c r="S101" i="3"/>
  <c r="S119" i="3"/>
  <c r="S132" i="3"/>
  <c r="S165" i="3"/>
  <c r="S130" i="3"/>
  <c r="S207" i="3"/>
  <c r="Z207" i="3"/>
  <c r="AG143" i="3"/>
  <c r="AG171" i="3"/>
  <c r="BP119" i="3"/>
  <c r="BB127" i="3"/>
  <c r="AN137" i="3"/>
  <c r="BP133" i="3"/>
  <c r="BI146" i="3"/>
  <c r="BI157" i="3"/>
  <c r="AN173" i="3"/>
  <c r="BB207" i="3"/>
  <c r="L109" i="3"/>
  <c r="L123" i="3"/>
  <c r="L141" i="3"/>
  <c r="L118" i="3"/>
  <c r="S134" i="3"/>
  <c r="S203" i="3"/>
  <c r="S197" i="3"/>
  <c r="S177" i="3"/>
  <c r="S142" i="3"/>
  <c r="AN157" i="3"/>
  <c r="Z157" i="3"/>
  <c r="AG121" i="3"/>
  <c r="BP139" i="3"/>
  <c r="AU157" i="3"/>
  <c r="AU161" i="3"/>
  <c r="BI114" i="3"/>
  <c r="AG166" i="3"/>
  <c r="BI206" i="3"/>
  <c r="L121" i="3"/>
  <c r="L170" i="3"/>
  <c r="L135" i="3"/>
  <c r="L196" i="3"/>
  <c r="L150" i="3"/>
  <c r="L153" i="3"/>
  <c r="L119" i="3"/>
  <c r="S202" i="3"/>
  <c r="S146" i="3"/>
  <c r="S172" i="3"/>
  <c r="S168" i="3"/>
  <c r="BP157" i="3"/>
  <c r="Z205" i="3"/>
  <c r="Z119" i="3"/>
  <c r="Z135" i="3"/>
  <c r="Z202" i="3"/>
  <c r="Z199" i="3"/>
  <c r="Z210" i="3"/>
  <c r="AN129" i="3"/>
  <c r="BB144" i="3"/>
  <c r="BP149" i="3"/>
  <c r="BB172" i="3"/>
  <c r="L98" i="3"/>
  <c r="L173" i="3"/>
  <c r="L131" i="3"/>
  <c r="S109" i="3"/>
  <c r="S210" i="3"/>
  <c r="S158" i="3"/>
  <c r="S111" i="3"/>
  <c r="S155" i="3"/>
  <c r="S90" i="3"/>
  <c r="S151" i="3"/>
  <c r="Z172" i="3"/>
  <c r="BI172" i="3"/>
  <c r="AG127" i="3"/>
  <c r="BI108" i="3"/>
  <c r="BP114" i="3"/>
  <c r="BB139" i="3"/>
  <c r="BP118" i="3"/>
  <c r="BI139" i="3"/>
  <c r="BB120" i="3"/>
  <c r="BP151" i="3"/>
  <c r="BB153" i="3"/>
  <c r="AN165" i="3"/>
  <c r="BP162" i="3"/>
  <c r="BP148" i="3"/>
  <c r="AU173" i="3"/>
  <c r="BP164" i="3"/>
  <c r="BI166" i="3"/>
  <c r="AG172" i="3"/>
  <c r="AG140" i="3"/>
  <c r="AU203" i="3"/>
  <c r="AG144" i="3"/>
  <c r="BB121" i="3"/>
  <c r="BI144" i="3"/>
  <c r="BB104" i="3"/>
  <c r="BB179" i="3"/>
  <c r="Z118" i="3"/>
  <c r="AU128" i="3"/>
  <c r="AU121" i="3"/>
  <c r="BB132" i="3"/>
  <c r="AU126" i="3"/>
  <c r="BI122" i="3"/>
  <c r="AN141" i="3"/>
  <c r="BP142" i="3"/>
  <c r="AU165" i="3"/>
  <c r="AN132" i="3"/>
  <c r="AN144" i="3"/>
  <c r="BB168" i="3"/>
  <c r="BP145" i="3"/>
  <c r="BP98" i="3"/>
  <c r="AG150" i="3"/>
  <c r="BP108" i="3"/>
  <c r="AG164" i="3"/>
  <c r="BI213" i="3"/>
  <c r="AU93" i="3"/>
  <c r="BP202" i="3"/>
  <c r="AU212" i="3"/>
  <c r="BI182" i="3"/>
  <c r="BB148" i="3"/>
  <c r="AN213" i="3"/>
  <c r="AU213" i="3"/>
  <c r="AU202" i="3"/>
  <c r="Z116" i="3"/>
  <c r="AU108" i="3"/>
  <c r="BP124" i="3"/>
  <c r="AN126" i="3"/>
  <c r="AU123" i="3"/>
  <c r="AN136" i="3"/>
  <c r="BI128" i="3"/>
  <c r="BP127" i="3"/>
  <c r="BI123" i="3"/>
  <c r="BP143" i="3"/>
  <c r="AU168" i="3"/>
  <c r="BB166" i="3"/>
  <c r="BI170" i="3"/>
  <c r="BB162" i="3"/>
  <c r="BP169" i="3"/>
  <c r="AU171" i="3"/>
  <c r="BI150" i="3"/>
  <c r="AG136" i="3"/>
  <c r="AU143" i="3"/>
  <c r="BP94" i="3"/>
  <c r="AN205" i="3"/>
  <c r="AN203" i="3"/>
  <c r="BI212" i="3"/>
  <c r="BI205" i="3"/>
  <c r="AN170" i="3"/>
  <c r="BP204" i="3"/>
  <c r="BB167" i="3"/>
  <c r="BB213" i="3"/>
  <c r="AG151" i="3"/>
  <c r="BB114" i="3"/>
  <c r="AN118" i="3"/>
  <c r="AN114" i="3"/>
  <c r="AN122" i="3"/>
  <c r="BI127" i="3"/>
  <c r="AN133" i="3"/>
  <c r="BP136" i="3"/>
  <c r="AU130" i="3"/>
  <c r="BB129" i="3"/>
  <c r="AU127" i="3"/>
  <c r="AN138" i="3"/>
  <c r="AN130" i="3"/>
  <c r="AU137" i="3"/>
  <c r="AU162" i="3"/>
  <c r="AU124" i="3"/>
  <c r="BI171" i="3"/>
  <c r="BB108" i="3"/>
  <c r="AN115" i="3"/>
  <c r="BB210" i="3"/>
  <c r="BB202" i="3"/>
  <c r="BB212" i="3"/>
  <c r="AU207" i="3"/>
  <c r="BB86" i="3"/>
  <c r="BB119" i="3"/>
  <c r="AG205" i="3"/>
  <c r="AG129" i="3"/>
  <c r="BI118" i="3"/>
  <c r="BP129" i="3"/>
  <c r="AN123" i="3"/>
  <c r="AU129" i="3"/>
  <c r="BB137" i="3"/>
  <c r="AU136" i="3"/>
  <c r="BP128" i="3"/>
  <c r="BP122" i="3"/>
  <c r="BB145" i="3"/>
  <c r="BB151" i="3"/>
  <c r="AU134" i="3"/>
  <c r="BI138" i="3"/>
  <c r="AU147" i="3"/>
  <c r="BP172" i="3"/>
  <c r="BB98" i="3"/>
  <c r="AG86" i="3"/>
  <c r="AU146" i="3"/>
  <c r="BI132" i="3"/>
  <c r="AN150" i="3"/>
  <c r="AN98" i="3"/>
  <c r="AG94" i="3"/>
  <c r="AU144" i="3"/>
  <c r="AG204" i="3"/>
  <c r="AU114" i="3"/>
  <c r="BP171" i="3"/>
  <c r="BP212" i="3"/>
  <c r="BI120" i="3"/>
  <c r="BI167" i="3"/>
  <c r="Z124" i="3"/>
  <c r="Z104" i="3"/>
  <c r="AG213" i="3"/>
  <c r="AG137" i="3"/>
  <c r="AU94" i="3"/>
  <c r="AN108" i="3"/>
  <c r="AU122" i="3"/>
  <c r="BP121" i="3"/>
  <c r="BI119" i="3"/>
  <c r="AN124" i="3"/>
  <c r="BP130" i="3"/>
  <c r="BB141" i="3"/>
  <c r="AU138" i="3"/>
  <c r="AN134" i="3"/>
  <c r="BB130" i="3"/>
  <c r="BI124" i="3"/>
  <c r="AN146" i="3"/>
  <c r="BB142" i="3"/>
  <c r="BI164" i="3"/>
  <c r="BP134" i="3"/>
  <c r="BI169" i="3"/>
  <c r="AU204" i="3"/>
  <c r="AN202" i="3"/>
  <c r="AU159" i="3"/>
  <c r="BI202" i="3"/>
  <c r="BI153" i="3"/>
  <c r="AG212" i="3"/>
  <c r="AN148" i="3"/>
  <c r="AN149" i="3"/>
  <c r="BP146" i="3"/>
  <c r="BI210" i="3"/>
  <c r="AG134" i="3"/>
  <c r="BP144" i="3"/>
  <c r="AN179" i="3"/>
  <c r="BI203" i="3"/>
  <c r="BI142" i="3"/>
  <c r="AG145" i="3"/>
  <c r="BI104" i="3"/>
  <c r="AU104" i="3"/>
  <c r="BB115" i="3"/>
  <c r="BP123" i="3"/>
  <c r="BP120" i="3"/>
  <c r="BI130" i="3"/>
  <c r="AN125" i="3"/>
  <c r="AU132" i="3"/>
  <c r="BP147" i="3"/>
  <c r="BB122" i="3"/>
  <c r="BB135" i="3"/>
  <c r="BB138" i="3"/>
  <c r="AN131" i="3"/>
  <c r="BI125" i="3"/>
  <c r="AN147" i="3"/>
  <c r="BB143" i="3"/>
  <c r="AU133" i="3"/>
  <c r="AG210" i="3"/>
  <c r="BB146" i="3"/>
  <c r="BI152" i="3"/>
  <c r="AN171" i="3"/>
  <c r="AN210" i="3"/>
  <c r="AN86" i="3"/>
  <c r="Z108" i="3"/>
  <c r="AG133" i="3"/>
  <c r="AG115" i="3"/>
  <c r="BI94" i="3"/>
  <c r="AU116" i="3"/>
  <c r="BB125" i="3"/>
  <c r="BI116" i="3"/>
  <c r="BP125" i="3"/>
  <c r="BB134" i="3"/>
  <c r="BB149" i="3"/>
  <c r="BB123" i="3"/>
  <c r="BI137" i="3"/>
  <c r="AN139" i="3"/>
  <c r="BP131" i="3"/>
  <c r="BB126" i="3"/>
  <c r="BP166" i="3"/>
  <c r="BB150" i="3"/>
  <c r="AN169" i="3"/>
  <c r="BB165" i="3"/>
  <c r="BB203" i="3"/>
  <c r="AN177" i="3"/>
  <c r="AU210" i="3"/>
  <c r="AU177" i="3"/>
  <c r="AU151" i="3"/>
  <c r="AN204" i="3"/>
  <c r="AU166" i="3"/>
  <c r="AU142" i="3"/>
  <c r="AG141" i="3"/>
  <c r="AU115" i="3"/>
  <c r="BP132" i="3"/>
  <c r="AU135" i="3"/>
  <c r="AN151" i="3"/>
  <c r="BB124" i="3"/>
  <c r="BB140" i="3"/>
  <c r="AU152" i="3"/>
  <c r="AN128" i="3"/>
  <c r="BI148" i="3"/>
  <c r="AN162" i="3"/>
  <c r="BI145" i="3"/>
  <c r="BI141" i="3"/>
  <c r="BI177" i="3"/>
  <c r="AN196" i="3"/>
  <c r="BB205" i="3"/>
  <c r="AG158" i="3"/>
  <c r="AG90" i="3"/>
  <c r="AG104" i="3"/>
  <c r="AG142" i="3"/>
  <c r="BP152" i="3"/>
  <c r="AU172" i="3"/>
  <c r="Z145" i="3"/>
  <c r="AG149" i="3"/>
  <c r="AN116" i="3"/>
  <c r="AU118" i="3"/>
  <c r="BI133" i="3"/>
  <c r="BI136" i="3"/>
  <c r="AN153" i="3"/>
  <c r="BI131" i="3"/>
  <c r="AU119" i="3"/>
  <c r="BI135" i="3"/>
  <c r="BI129" i="3"/>
  <c r="AU149" i="3"/>
  <c r="BI162" i="3"/>
  <c r="AN166" i="3"/>
  <c r="AU170" i="3"/>
  <c r="BI168" i="3"/>
  <c r="AU164" i="3"/>
  <c r="BB164" i="3"/>
  <c r="AU197" i="3"/>
  <c r="AG120" i="3"/>
  <c r="AN212" i="3"/>
  <c r="BP173" i="3"/>
  <c r="BP165" i="3"/>
  <c r="AG119" i="3"/>
  <c r="AG169" i="3"/>
  <c r="AG131" i="3"/>
  <c r="BP138" i="3"/>
  <c r="BP140" i="3"/>
  <c r="BI134" i="3"/>
  <c r="AU150" i="3"/>
  <c r="AU131" i="3"/>
  <c r="BP150" i="3"/>
  <c r="BP153" i="3"/>
  <c r="AU140" i="3"/>
  <c r="AN172" i="3"/>
  <c r="BB152" i="3"/>
  <c r="BB136" i="3"/>
  <c r="BI165" i="3"/>
  <c r="AG148" i="3"/>
  <c r="AN94" i="3"/>
  <c r="AU120" i="3"/>
  <c r="AG128" i="3"/>
  <c r="AU169" i="3"/>
  <c r="AG132" i="3"/>
  <c r="Z151" i="3"/>
  <c r="Z141" i="3"/>
  <c r="Z152" i="3"/>
  <c r="Z133" i="3"/>
  <c r="Z173" i="3"/>
  <c r="Z115" i="3"/>
  <c r="Z120" i="3"/>
  <c r="Z170" i="3"/>
  <c r="Z94" i="3"/>
  <c r="Z169" i="3"/>
  <c r="Z137" i="3"/>
  <c r="Z153" i="3"/>
  <c r="Z164" i="3"/>
  <c r="E214" i="3"/>
  <c r="Z146" i="3"/>
  <c r="Z140" i="3"/>
  <c r="Z126" i="3"/>
  <c r="BP214" i="3" l="1"/>
  <c r="M39" i="3" s="1"/>
  <c r="M40" i="3" s="1"/>
  <c r="BI214" i="3"/>
  <c r="L39" i="3" s="1"/>
  <c r="L40" i="3" s="1"/>
  <c r="AU214" i="3"/>
  <c r="J39" i="3" s="1"/>
  <c r="J40" i="3" s="1"/>
  <c r="BB214" i="3"/>
  <c r="K39" i="3" s="1"/>
  <c r="K40" i="3" s="1"/>
  <c r="AN214" i="3"/>
  <c r="I39" i="3" s="1"/>
  <c r="I40" i="3" s="1"/>
  <c r="AG214" i="3"/>
  <c r="H39" i="3" s="1"/>
  <c r="H40" i="3" s="1"/>
  <c r="Z214" i="3"/>
  <c r="G39" i="3" s="1"/>
  <c r="G40" i="3" s="1"/>
  <c r="G41" i="3" s="1"/>
  <c r="L214" i="3"/>
  <c r="E39" i="3" s="1"/>
  <c r="E40" i="3" s="1"/>
  <c r="E41" i="3" s="1"/>
  <c r="S214" i="3"/>
  <c r="F39" i="3" s="1"/>
  <c r="F40" i="3" s="1"/>
  <c r="K41" i="3" l="1"/>
  <c r="K57" i="3"/>
  <c r="J57" i="3"/>
  <c r="J41" i="3"/>
  <c r="J62" i="3" s="1"/>
  <c r="I57" i="3"/>
  <c r="I41" i="3"/>
  <c r="L41" i="3"/>
  <c r="L62" i="3" s="1"/>
  <c r="L57" i="3"/>
  <c r="H41" i="3"/>
  <c r="H57" i="3"/>
  <c r="M41" i="3"/>
  <c r="M57" i="3"/>
  <c r="E57" i="3"/>
  <c r="E62" i="3" s="1"/>
  <c r="G57" i="3"/>
  <c r="F41" i="3"/>
  <c r="F57" i="3"/>
  <c r="G62" i="3"/>
  <c r="H62" i="3" l="1"/>
  <c r="M62" i="3"/>
  <c r="I62" i="3"/>
  <c r="K62" i="3"/>
  <c r="I230" i="3"/>
  <c r="I223" i="3"/>
  <c r="I236" i="3"/>
  <c r="I231" i="3"/>
  <c r="I225" i="3"/>
  <c r="I244" i="3"/>
  <c r="I239" i="3"/>
  <c r="I226" i="3"/>
  <c r="I245" i="3"/>
  <c r="I238" i="3"/>
  <c r="I228" i="3"/>
  <c r="I221" i="3"/>
  <c r="I222" i="3"/>
  <c r="I224" i="3"/>
  <c r="I243" i="3"/>
  <c r="I232" i="3"/>
  <c r="I237" i="3"/>
  <c r="I227" i="3"/>
  <c r="I240" i="3"/>
  <c r="I234" i="3"/>
  <c r="I229" i="3"/>
  <c r="I241" i="3"/>
  <c r="I242" i="3"/>
  <c r="I235" i="3"/>
  <c r="I233" i="3"/>
  <c r="F62" i="3"/>
  <c r="C235" i="3"/>
  <c r="C237" i="3"/>
  <c r="C224" i="3"/>
  <c r="C239" i="3"/>
  <c r="C226" i="3"/>
  <c r="C227" i="3"/>
  <c r="C241" i="3"/>
  <c r="C233" i="3"/>
  <c r="C245" i="3"/>
  <c r="C222" i="3"/>
  <c r="C236" i="3"/>
  <c r="C238" i="3"/>
  <c r="C225" i="3"/>
  <c r="C228" i="3"/>
  <c r="C229" i="3"/>
  <c r="C230" i="3"/>
  <c r="C240" i="3"/>
  <c r="C242" i="3"/>
  <c r="C231" i="3"/>
  <c r="C221" i="3"/>
  <c r="C243" i="3"/>
  <c r="C232" i="3"/>
  <c r="C223" i="3"/>
  <c r="C244" i="3"/>
  <c r="C234" i="3"/>
  <c r="D222" i="3" l="1"/>
  <c r="E222" i="3" s="1"/>
  <c r="J235" i="3"/>
  <c r="K235" i="3" s="1"/>
  <c r="J221" i="3"/>
  <c r="K221" i="3" s="1"/>
  <c r="J230" i="3"/>
  <c r="K230" i="3" s="1"/>
  <c r="J245" i="3"/>
  <c r="K245" i="3" s="1"/>
  <c r="J242" i="3"/>
  <c r="K242" i="3" s="1"/>
  <c r="J233" i="3"/>
  <c r="K233" i="3" s="1"/>
  <c r="J239" i="3"/>
  <c r="K239" i="3" s="1"/>
  <c r="J234" i="3"/>
  <c r="K234" i="3" s="1"/>
  <c r="J223" i="3"/>
  <c r="K223" i="3" s="1"/>
  <c r="J232" i="3"/>
  <c r="K232" i="3" s="1"/>
  <c r="J241" i="3"/>
  <c r="K241" i="3" s="1"/>
  <c r="J222" i="3"/>
  <c r="K222" i="3" s="1"/>
  <c r="J229" i="3"/>
  <c r="K229" i="3" s="1"/>
  <c r="J236" i="3"/>
  <c r="K236" i="3" s="1"/>
  <c r="J240" i="3"/>
  <c r="K240" i="3" s="1"/>
  <c r="J225" i="3"/>
  <c r="K225" i="3" s="1"/>
  <c r="J226" i="3"/>
  <c r="K226" i="3" s="1"/>
  <c r="J243" i="3"/>
  <c r="K243" i="3" s="1"/>
  <c r="J237" i="3"/>
  <c r="K237" i="3" s="1"/>
  <c r="J238" i="3"/>
  <c r="K238" i="3" s="1"/>
  <c r="J228" i="3"/>
  <c r="K228" i="3" s="1"/>
  <c r="J231" i="3"/>
  <c r="K231" i="3" s="1"/>
  <c r="J227" i="3"/>
  <c r="K227" i="3" s="1"/>
  <c r="J244" i="3"/>
  <c r="K244" i="3" s="1"/>
  <c r="J224" i="3"/>
  <c r="K224" i="3" s="1"/>
  <c r="F222" i="3"/>
  <c r="F240" i="3"/>
  <c r="F237" i="3"/>
  <c r="F223" i="3"/>
  <c r="F235" i="3"/>
  <c r="F230" i="3"/>
  <c r="F236" i="3"/>
  <c r="F244" i="3"/>
  <c r="F228" i="3"/>
  <c r="F234" i="3"/>
  <c r="F229" i="3"/>
  <c r="F241" i="3"/>
  <c r="F225" i="3"/>
  <c r="F224" i="3"/>
  <c r="F231" i="3"/>
  <c r="F239" i="3"/>
  <c r="F221" i="3"/>
  <c r="F232" i="3"/>
  <c r="F242" i="3"/>
  <c r="F226" i="3"/>
  <c r="F238" i="3"/>
  <c r="F233" i="3"/>
  <c r="F243" i="3"/>
  <c r="F227" i="3"/>
  <c r="F245" i="3"/>
  <c r="D221" i="3"/>
  <c r="E221" i="3" s="1"/>
  <c r="D232" i="3"/>
  <c r="E232" i="3" s="1"/>
  <c r="D238" i="3"/>
  <c r="E238" i="3" s="1"/>
  <c r="D237" i="3"/>
  <c r="E237" i="3" s="1"/>
  <c r="D224" i="3"/>
  <c r="E224" i="3" s="1"/>
  <c r="D235" i="3"/>
  <c r="E235" i="3" s="1"/>
  <c r="D245" i="3"/>
  <c r="E245" i="3" s="1"/>
  <c r="D225" i="3"/>
  <c r="E225" i="3" s="1"/>
  <c r="D240" i="3"/>
  <c r="E240" i="3" s="1"/>
  <c r="D228" i="3"/>
  <c r="E228" i="3" s="1"/>
  <c r="D244" i="3"/>
  <c r="E244" i="3" s="1"/>
  <c r="D241" i="3"/>
  <c r="E241" i="3" s="1"/>
  <c r="D236" i="3"/>
  <c r="E236" i="3" s="1"/>
  <c r="D239" i="3"/>
  <c r="E239" i="3" s="1"/>
  <c r="D242" i="3"/>
  <c r="E242" i="3" s="1"/>
  <c r="D234" i="3"/>
  <c r="E234" i="3" s="1"/>
  <c r="D243" i="3"/>
  <c r="E243" i="3" s="1"/>
  <c r="D230" i="3"/>
  <c r="E230" i="3" s="1"/>
  <c r="D227" i="3"/>
  <c r="E227" i="3" s="1"/>
  <c r="D229" i="3"/>
  <c r="E229" i="3" s="1"/>
  <c r="D231" i="3"/>
  <c r="E231" i="3" s="1"/>
  <c r="D233" i="3"/>
  <c r="E233" i="3" s="1"/>
  <c r="D226" i="3"/>
  <c r="E226" i="3" s="1"/>
  <c r="D223" i="3"/>
  <c r="E223" i="3" s="1"/>
  <c r="G243" i="3" l="1"/>
  <c r="H243" i="3" s="1"/>
  <c r="G225" i="3"/>
  <c r="H225" i="3" s="1"/>
  <c r="G232" i="3"/>
  <c r="H232" i="3" s="1"/>
  <c r="G237" i="3"/>
  <c r="H237" i="3" s="1"/>
  <c r="G227" i="3"/>
  <c r="H227" i="3" s="1"/>
  <c r="G238" i="3"/>
  <c r="H238" i="3" s="1"/>
  <c r="G239" i="3"/>
  <c r="H239" i="3" s="1"/>
  <c r="G245" i="3"/>
  <c r="H245" i="3" s="1"/>
  <c r="G228" i="3"/>
  <c r="H228" i="3" s="1"/>
  <c r="G240" i="3"/>
  <c r="H240" i="3" s="1"/>
  <c r="G241" i="3"/>
  <c r="H241" i="3" s="1"/>
  <c r="G224" i="3"/>
  <c r="H224" i="3" s="1"/>
  <c r="G231" i="3"/>
  <c r="H231" i="3" s="1"/>
  <c r="G244" i="3"/>
  <c r="H244" i="3" s="1"/>
  <c r="G233" i="3"/>
  <c r="H233" i="3" s="1"/>
  <c r="G230" i="3"/>
  <c r="H230" i="3" s="1"/>
  <c r="G226" i="3"/>
  <c r="H226" i="3" s="1"/>
  <c r="G242" i="3"/>
  <c r="H242" i="3" s="1"/>
  <c r="G236" i="3"/>
  <c r="H236" i="3" s="1"/>
  <c r="G234" i="3"/>
  <c r="H234" i="3" s="1"/>
  <c r="G229" i="3"/>
  <c r="H229" i="3" s="1"/>
  <c r="G235" i="3"/>
  <c r="H235" i="3" s="1"/>
  <c r="G222" i="3"/>
  <c r="H222" i="3" s="1"/>
  <c r="G223" i="3"/>
  <c r="H223" i="3" s="1"/>
  <c r="G221" i="3"/>
  <c r="H22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<sst xmlns="http://schemas.openxmlformats.org/spreadsheetml/2006/main" count="406" uniqueCount="179">
  <si>
    <t>Load (%)</t>
  </si>
  <si>
    <t>SFOC Approximation</t>
  </si>
  <si>
    <t>Brake Specific Fuel Consumption (BSFC) (g/kWh)</t>
  </si>
  <si>
    <t>Total CAPEX cost (USD)</t>
  </si>
  <si>
    <t xml:space="preserve">Year </t>
  </si>
  <si>
    <t>Annual Without CAPEX</t>
  </si>
  <si>
    <t>Summary Without CAPEX</t>
  </si>
  <si>
    <t>Number of Years</t>
  </si>
  <si>
    <t>Case 1</t>
  </si>
  <si>
    <t>Case 2</t>
  </si>
  <si>
    <t>Case 3</t>
  </si>
  <si>
    <t>Case 4</t>
  </si>
  <si>
    <t>Case 5</t>
  </si>
  <si>
    <t>Case 6</t>
  </si>
  <si>
    <t>CASE 1</t>
  </si>
  <si>
    <t>CASE 2</t>
  </si>
  <si>
    <t>Vessel ID</t>
  </si>
  <si>
    <t>—</t>
  </si>
  <si>
    <t>Vessel type</t>
  </si>
  <si>
    <t>Deadweight</t>
  </si>
  <si>
    <t>DWT</t>
  </si>
  <si>
    <t>t</t>
  </si>
  <si>
    <t>Displacement/mass</t>
  </si>
  <si>
    <t>m</t>
  </si>
  <si>
    <t>kg</t>
  </si>
  <si>
    <t>Length</t>
  </si>
  <si>
    <t>L</t>
  </si>
  <si>
    <t>Beam</t>
  </si>
  <si>
    <t>B</t>
  </si>
  <si>
    <t>Draft</t>
  </si>
  <si>
    <t>T</t>
  </si>
  <si>
    <t>Design/service speed</t>
  </si>
  <si>
    <t>Ud​</t>
  </si>
  <si>
    <t>m/s</t>
  </si>
  <si>
    <t>Resistance @ 15 kn</t>
  </si>
  <si>
    <t>R15​</t>
  </si>
  <si>
    <t>MN</t>
  </si>
  <si>
    <t>Maximum engine power</t>
  </si>
  <si>
    <t>Pe,max​</t>
  </si>
  <si>
    <t>W</t>
  </si>
  <si>
    <t>Propulsive efficiency</t>
  </si>
  <si>
    <t>ηp​</t>
  </si>
  <si>
    <t>%</t>
  </si>
  <si>
    <t>Annual operating hours</t>
  </si>
  <si>
    <t>tyr​</t>
  </si>
  <si>
    <t>h</t>
  </si>
  <si>
    <t>Fuel price</t>
  </si>
  <si>
    <t>Cf​</t>
  </si>
  <si>
    <t>USD/kg</t>
  </si>
  <si>
    <t>Vessel database</t>
  </si>
  <si>
    <t>Symbol</t>
  </si>
  <si>
    <t>Units</t>
  </si>
  <si>
    <t xml:space="preserve"> Du</t>
  </si>
  <si>
    <t>kg/m</t>
  </si>
  <si>
    <t xml:space="preserve">Damping Coefficient </t>
  </si>
  <si>
    <t>Terminology</t>
  </si>
  <si>
    <t>Technology</t>
  </si>
  <si>
    <t>Number of sails</t>
  </si>
  <si>
    <t>Sail x-positions</t>
  </si>
  <si>
    <t>-70, -60, -50 m</t>
  </si>
  <si>
    <t>Sail y-positions</t>
  </si>
  <si>
    <t>-10, +10 m</t>
  </si>
  <si>
    <t>Sail control</t>
  </si>
  <si>
    <t>optimized</t>
  </si>
  <si>
    <t>Sail Technologies</t>
  </si>
  <si>
    <t>Soft Sail</t>
  </si>
  <si>
    <t>Rotor Sail</t>
  </si>
  <si>
    <t>Sunction Sail</t>
  </si>
  <si>
    <t>Sail Configuration</t>
  </si>
  <si>
    <t>Ns</t>
  </si>
  <si>
    <t>As</t>
  </si>
  <si>
    <t>m²/sail</t>
  </si>
  <si>
    <t>-</t>
  </si>
  <si>
    <t>m²</t>
  </si>
  <si>
    <t>Ns*As</t>
  </si>
  <si>
    <t>x_s</t>
  </si>
  <si>
    <t>y_s</t>
  </si>
  <si>
    <t>None</t>
  </si>
  <si>
    <t>Rs</t>
  </si>
  <si>
    <t>USD</t>
  </si>
  <si>
    <t>g/h</t>
  </si>
  <si>
    <t>mf</t>
  </si>
  <si>
    <t xml:space="preserve">Total Fuel Consumption </t>
  </si>
  <si>
    <t>ΣFC</t>
  </si>
  <si>
    <t xml:space="preserve">Asset (Purchase Cost Equipment) </t>
  </si>
  <si>
    <t>ASSET</t>
  </si>
  <si>
    <t xml:space="preserve">Installation Costs </t>
  </si>
  <si>
    <t>INSTALL</t>
  </si>
  <si>
    <t>CAPEX</t>
  </si>
  <si>
    <t>ASSET is 200k/small sunction sail, 1M per rotor sail</t>
  </si>
  <si>
    <t>Cmaint</t>
  </si>
  <si>
    <t>Annual OPEX cost</t>
  </si>
  <si>
    <t>Cel</t>
  </si>
  <si>
    <t>Annual Electric Operation Cost</t>
  </si>
  <si>
    <t xml:space="preserve">Total Fuel Cost  </t>
  </si>
  <si>
    <t>Cf</t>
  </si>
  <si>
    <t xml:space="preserve">Annual Cf+OPEX+C02 </t>
  </si>
  <si>
    <t>Annual Emission Compliance Cost</t>
  </si>
  <si>
    <t>Discount Rate</t>
  </si>
  <si>
    <t>Disc</t>
  </si>
  <si>
    <t>Ny</t>
  </si>
  <si>
    <t>Years</t>
  </si>
  <si>
    <t>Cannual</t>
  </si>
  <si>
    <t>Vw (m/s)</t>
  </si>
  <si>
    <t>bw (degrees)</t>
  </si>
  <si>
    <t>Probability (%)</t>
  </si>
  <si>
    <t>Te(Vw,bw) in N</t>
  </si>
  <si>
    <r>
      <t>Thrust Estimation (Python Output):</t>
    </r>
    <r>
      <rPr>
        <sz val="11"/>
        <color theme="1"/>
        <rFont val="Calibri"/>
        <family val="2"/>
        <scheme val="minor"/>
      </rPr>
      <t xml:space="preserve"> Paste the resulting vector</t>
    </r>
  </si>
  <si>
    <t xml:space="preserve">Used Engine Power Pe (Watt) </t>
  </si>
  <si>
    <t>Propeller Power  Pprop (Watt)</t>
  </si>
  <si>
    <t>Instant Fuel Consumption mf (g/h)</t>
  </si>
  <si>
    <t>Prob(Vw,bw)*mf(Vw,bw)</t>
  </si>
  <si>
    <t>Mean Estimated Fuel Consumption (g/h)</t>
  </si>
  <si>
    <t>Mean Fuel Consumption (estimated with wind probabilities)</t>
  </si>
  <si>
    <t>Excecute Python Script for a set of wind speed and angle values to obtain a vector of corresponding Engine Thrusts Te. Paste below in the blue field. Mean Fuel Consumption is then estimated</t>
  </si>
  <si>
    <t>Annual Fuel Costs</t>
  </si>
  <si>
    <t>Material and Installation Costs (once)</t>
  </si>
  <si>
    <t>Annual OPEX Costs</t>
  </si>
  <si>
    <t>Annual Emission Compliance Costs (needs update, to include C02 e.t.c.)</t>
  </si>
  <si>
    <t>Total Annual Cost Estimations (CAPEX excl.)</t>
  </si>
  <si>
    <t>Estimation of Du from Resistance and Speed</t>
  </si>
  <si>
    <t>Medium Product Tanker</t>
  </si>
  <si>
    <t>-80, -60 m</t>
  </si>
  <si>
    <t>CASE 3</t>
  </si>
  <si>
    <t>Formula</t>
  </si>
  <si>
    <t>mf_mean*annual_hours</t>
  </si>
  <si>
    <t>ΣFC*costperkg</t>
  </si>
  <si>
    <t>25% of asset in older vessels</t>
  </si>
  <si>
    <t>ASSET+INSTALL OR 1.25*ASSET</t>
  </si>
  <si>
    <t>2%*CAPEX+Cel</t>
  </si>
  <si>
    <t>Cf+Cmaintainance+C_C02</t>
  </si>
  <si>
    <t>Summary with CAPEX (Million USD)</t>
  </si>
  <si>
    <t>Summary with CAPEX (millon USD)</t>
  </si>
  <si>
    <t>Summary with CAPEX (million USD)</t>
  </si>
  <si>
    <t>CO2 emission factor</t>
  </si>
  <si>
    <t>EFCO2</t>
  </si>
  <si>
    <t xml:space="preserve">Effective Carbon Price </t>
  </si>
  <si>
    <t>PCO2</t>
  </si>
  <si>
    <t>tCO2/tfuel</t>
  </si>
  <si>
    <t>USD/tCO2</t>
  </si>
  <si>
    <t>EFCO2*PCO2*ΣFC/1000</t>
  </si>
  <si>
    <t>Marginal Fv(V_w)</t>
  </si>
  <si>
    <t>Marginal Fv(β_w)</t>
  </si>
  <si>
    <t>According to Rayleigh distribution, with a mean wind speed of 8m/s</t>
  </si>
  <si>
    <t>V_w (m/s)</t>
  </si>
  <si>
    <t>β_w (degrees)</t>
  </si>
  <si>
    <t>Case 7</t>
  </si>
  <si>
    <t>Case 8</t>
  </si>
  <si>
    <t>Case 9</t>
  </si>
  <si>
    <t>Rotor sail radius</t>
  </si>
  <si>
    <t>Rotor sail height</t>
  </si>
  <si>
    <t xml:space="preserve">Rotor sail spin ratio </t>
  </si>
  <si>
    <t>H_rotor</t>
  </si>
  <si>
    <t>λ</t>
  </si>
  <si>
    <t>Area per Soft/Sunction sail</t>
  </si>
  <si>
    <t>Total Soft/Sunction Sails area</t>
  </si>
  <si>
    <t xml:space="preserve">Sunction sail coefficient </t>
  </si>
  <si>
    <t>ks</t>
  </si>
  <si>
    <t>σ</t>
  </si>
  <si>
    <t>Sunction sail parameter</t>
  </si>
  <si>
    <t>-70m</t>
  </si>
  <si>
    <t>CASE4</t>
  </si>
  <si>
    <t>CASE5</t>
  </si>
  <si>
    <t>CASE6</t>
  </si>
  <si>
    <t>CASE7</t>
  </si>
  <si>
    <t>CASE8</t>
  </si>
  <si>
    <t>CASE9</t>
  </si>
  <si>
    <t>Annual Fuel Cost (USD)</t>
  </si>
  <si>
    <t>Annual Compliance Cost (USD)</t>
  </si>
  <si>
    <t>Total Annual Cost (USD)</t>
  </si>
  <si>
    <t>No Sail</t>
  </si>
  <si>
    <t>4 Small Soft Sails</t>
  </si>
  <si>
    <t>4 Large Soft Sails</t>
  </si>
  <si>
    <t>6 Small Soft Sails</t>
  </si>
  <si>
    <t>6 Large Soft Sails</t>
  </si>
  <si>
    <t>2 Rotor Sails</t>
  </si>
  <si>
    <t>4 Rotor Sails</t>
  </si>
  <si>
    <t>4 Sunction Sails</t>
  </si>
  <si>
    <t>6 Sunction Sails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</si>
</sst>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6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2" borderId="0" xfId="0" applyFill="1"/>
    <xf numFmtId="0" fontId="2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3" borderId="0" xfId="0" applyFill="1"/>
    <xf numFmtId="0" fontId="0" fillId="0" borderId="0" xfId="0" applyFont="1"/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4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5" xfId="0" applyBorder="1"/>
    <xf numFmtId="0" fontId="0" fillId="2" borderId="0" xfId="0" applyFill="1" applyBorder="1"/>
    <xf numFmtId="0" fontId="1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2" borderId="7" xfId="0" applyFill="1" applyBorder="1"/>
    <xf numFmtId="0" fontId="0" fillId="0" borderId="7" xfId="0" applyBorder="1"/>
    <xf numFmtId="0" fontId="0" fillId="0" borderId="8" xfId="0" applyBorder="1"/>
    <xf numFmtId="0" fontId="0" fillId="2" borderId="0" xfId="0" applyFill="1" applyBorder="1" applyAlignment="1">
      <alignment vertical="center" wrapText="1"/>
    </xf>
    <xf numFmtId="0" fontId="1" fillId="0" borderId="6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1" fillId="0" borderId="0" xfId="0" applyFont="1" applyFill="1"/>
    <xf numFmtId="0" fontId="3" fillId="3" borderId="0" xfId="0" applyFont="1" applyFill="1" applyBorder="1"/>
    <xf numFmtId="0" fontId="1" fillId="0" borderId="4" xfId="0" applyFont="1" applyBorder="1" applyAlignment="1">
      <alignment wrapText="1"/>
    </xf>
    <xf numFmtId="0" fontId="1" fillId="0" borderId="6" xfId="0" applyFont="1" applyBorder="1"/>
    <xf numFmtId="0" fontId="3" fillId="0" borderId="4" xfId="0" applyFont="1" applyBorder="1"/>
    <xf numFmtId="0" fontId="0" fillId="0" borderId="0" xfId="0" applyFont="1" applyBorder="1" applyAlignment="1">
      <alignment wrapText="1"/>
    </xf>
    <xf numFmtId="0" fontId="0" fillId="0" borderId="7" xfId="0" applyFont="1" applyBorder="1"/>
    <xf numFmtId="0" fontId="1" fillId="0" borderId="7" xfId="0" applyFont="1" applyBorder="1"/>
    <xf numFmtId="0" fontId="0" fillId="0" borderId="0" xfId="0" applyFont="1" applyBorder="1"/>
    <xf numFmtId="0" fontId="1" fillId="0" borderId="7" xfId="0" applyFont="1" applyBorder="1" applyAlignment="1">
      <alignment wrapText="1"/>
    </xf>
    <xf numFmtId="0" fontId="0" fillId="0" borderId="7" xfId="0" applyFont="1" applyBorder="1" applyAlignment="1">
      <alignment wrapText="1"/>
    </xf>
    <xf numFmtId="0" fontId="2" fillId="0" borderId="7" xfId="0" applyFont="1" applyBorder="1"/>
    <xf numFmtId="0" fontId="3" fillId="0" borderId="1" xfId="0" applyFont="1" applyFill="1" applyBorder="1" applyAlignment="1">
      <alignment vertical="center" wrapText="1"/>
    </xf>
    <xf numFmtId="2" fontId="0" fillId="0" borderId="7" xfId="0" applyNumberFormat="1" applyBorder="1"/>
    <xf numFmtId="0" fontId="0" fillId="2" borderId="0" xfId="0" applyFill="1" applyBorder="1" applyAlignment="1">
      <alignment wrapText="1"/>
    </xf>
    <xf numFmtId="49" fontId="0" fillId="2" borderId="0" xfId="0" applyNumberFormat="1" applyFill="1" applyBorder="1" applyAlignment="1">
      <alignment vertical="center" wrapText="1"/>
    </xf>
    <xf numFmtId="0" fontId="1" fillId="0" borderId="0" xfId="0" applyFont="1" applyFill="1" applyBorder="1"/>
    <xf numFmtId="0" fontId="1" fillId="0" borderId="2" xfId="0" applyFont="1" applyFill="1" applyBorder="1"/>
    <xf numFmtId="0" fontId="0" fillId="0" borderId="7" xfId="0" applyFill="1" applyBorder="1"/>
    <xf numFmtId="0" fontId="0" fillId="0" borderId="0" xfId="0" applyFill="1" applyBorder="1"/>
    <xf numFmtId="0" fontId="0" fillId="0" borderId="7" xfId="0" applyFont="1" applyFill="1" applyBorder="1"/>
    <xf numFmtId="0" fontId="0" fillId="2" borderId="5" xfId="0" applyFill="1" applyBorder="1"/>
    <xf numFmtId="0" fontId="0" fillId="2" borderId="8" xfId="0" applyFill="1" applyBorder="1"/>
    <xf numFmtId="43" fontId="1" fillId="0" borderId="0" xfId="1" applyFont="1"/>
    <xf numFmtId="43" fontId="1" fillId="0" borderId="0" xfId="1" applyFont="1" applyAlignment="1">
      <alignment wrapText="1"/>
    </xf>
    <xf numFmtId="43" fontId="0" fillId="0" borderId="0" xfId="1" applyFont="1"/>
    <xf numFmtId="43" fontId="0" fillId="0" borderId="0" xfId="0" applyNumberFormat="1" applyBorder="1"/>
    <xf numFmtId="43" fontId="0" fillId="0" borderId="5" xfId="0" applyNumberFormat="1" applyBorder="1"/>
    <xf numFmtId="0" fontId="1" fillId="0" borderId="8" xfId="0" applyFont="1" applyBorder="1"/>
    <xf numFmtId="2" fontId="0" fillId="0" borderId="8" xfId="0" applyNumberFormat="1" applyBorder="1"/>
    <xf numFmtId="0" fontId="0" fillId="0" borderId="4" xfId="0" applyBorder="1"/>
    <xf numFmtId="0" fontId="0" fillId="0" borderId="6" xfId="0" applyBorder="1"/>
    <xf numFmtId="0" fontId="0" fillId="0" borderId="0" xfId="0" applyAlignment="1">
      <alignment horizontal="center" wrapText="1"/>
    </xf>
    <xf numFmtId="0" fontId="4" fillId="0" borderId="0" xfId="0" applyFont="1" applyAlignment="1">
      <alignment horizontal="center"/>
    </xf>
    <xf numFmtId="0" fontId="3" fillId="0" borderId="1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2">
    <cellStyle name="Κανονικό" xfId="0" builtinId="0"/>
    <cellStyle name="Κόμμα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Estimated total cost of WAPS (plus CAPEX) for 25 years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31022826692116"/>
          <c:y val="0.10432456336830979"/>
          <c:w val="0.8120807474316547"/>
          <c:h val="0.73577136191309422"/>
        </c:manualLayout>
      </c:layout>
      <c:lineChart>
        <c:grouping val="standard"/>
        <c:varyColors val="0"/>
        <c:ser>
          <c:idx val="1"/>
          <c:order val="1"/>
          <c:tx>
            <c:strRef>
              <c:f>General_Modified!$AG$58</c:f>
              <c:strCache>
                <c:ptCount val="1"/>
                <c:pt idx="0">
                  <c:v>No Sail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General_Modified!$E$221:$E$245</c:f>
              <c:numCache>
                <c:formatCode>General</c:formatCode>
                <c:ptCount val="25"/>
                <c:pt idx="0">
                  <c:v>6.3459012331751765</c:v>
                </c:pt>
                <c:pt idx="1">
                  <c:v>12.506970391597678</c:v>
                </c:pt>
                <c:pt idx="2">
                  <c:v>18.488590933755447</c:v>
                </c:pt>
                <c:pt idx="3">
                  <c:v>24.29598951837464</c:v>
                </c:pt>
                <c:pt idx="4">
                  <c:v>29.934240571402981</c:v>
                </c:pt>
                <c:pt idx="5">
                  <c:v>35.40827071997419</c:v>
                </c:pt>
                <c:pt idx="6">
                  <c:v>40.722863097227787</c:v>
                </c:pt>
                <c:pt idx="7">
                  <c:v>45.882661521745845</c:v>
                </c:pt>
                <c:pt idx="8">
                  <c:v>50.892174555258521</c:v>
                </c:pt>
                <c:pt idx="9">
                  <c:v>55.755779442164034</c:v>
                </c:pt>
                <c:pt idx="10">
                  <c:v>60.477725934305312</c:v>
                </c:pt>
                <c:pt idx="11">
                  <c:v>65.06214000434538</c:v>
                </c:pt>
                <c:pt idx="12">
                  <c:v>69.513027450986215</c:v>
                </c:pt>
                <c:pt idx="13">
                  <c:v>73.834277399181218</c:v>
                </c:pt>
                <c:pt idx="14">
                  <c:v>78.029665698399668</c:v>
                </c:pt>
                <c:pt idx="15">
                  <c:v>82.102858221912712</c:v>
                </c:pt>
                <c:pt idx="16">
                  <c:v>86.057414069983636</c:v>
                </c:pt>
                <c:pt idx="17">
                  <c:v>89.896788679761229</c:v>
                </c:pt>
                <c:pt idx="18">
                  <c:v>93.624336844593856</c:v>
                </c:pt>
                <c:pt idx="19">
                  <c:v>97.24331564540222</c:v>
                </c:pt>
                <c:pt idx="20">
                  <c:v>100.75688729667247</c:v>
                </c:pt>
                <c:pt idx="21">
                  <c:v>104.16812190955622</c:v>
                </c:pt>
                <c:pt idx="22">
                  <c:v>107.48000017449189</c:v>
                </c:pt>
                <c:pt idx="23">
                  <c:v>110.69541596569158</c:v>
                </c:pt>
                <c:pt idx="24">
                  <c:v>113.81717886976895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7C-49A2-BAE8-240F48ED90D9}"/>
            </c:ext>
          </c:extLst>
        </c:ser>
        <c:ser>
          <c:idx val="2"/>
          <c:order val="2"/>
          <c:tx>
            <c:strRef>
              <c:f>General_Modified!$AG$59</c:f>
              <c:strCache>
                <c:ptCount val="1"/>
                <c:pt idx="0">
                  <c:v>4 Small Soft Sails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General_Modified!$H$221:$H$245</c:f>
              <c:numCache>
                <c:formatCode>General</c:formatCode>
                <c:ptCount val="25"/>
                <c:pt idx="0">
                  <c:v>7.7808282155915025</c:v>
                </c:pt>
                <c:pt idx="1">
                  <c:v>13.878719687039563</c:v>
                </c:pt>
                <c:pt idx="2">
                  <c:v>19.799002669027974</c:v>
                </c:pt>
                <c:pt idx="3">
                  <c:v>25.546850224356525</c:v>
                </c:pt>
                <c:pt idx="4">
                  <c:v>31.127284744092986</c:v>
                </c:pt>
                <c:pt idx="5">
                  <c:v>36.545182336070127</c:v>
                </c:pt>
                <c:pt idx="6">
                  <c:v>41.805277085562494</c:v>
                </c:pt>
                <c:pt idx="7">
                  <c:v>46.912165191865775</c:v>
                </c:pt>
                <c:pt idx="8">
                  <c:v>51.870308984393226</c:v>
                </c:pt>
                <c:pt idx="9">
                  <c:v>56.684040821798519</c:v>
                </c:pt>
                <c:pt idx="10">
                  <c:v>61.357566877531809</c:v>
                </c:pt>
                <c:pt idx="11">
                  <c:v>65.894970815136958</c:v>
                </c:pt>
                <c:pt idx="12">
                  <c:v>70.300217356501165</c:v>
                </c:pt>
                <c:pt idx="13">
                  <c:v>74.577155746175151</c:v>
                </c:pt>
                <c:pt idx="14">
                  <c:v>78.72952311479068</c:v>
                </c:pt>
                <c:pt idx="15">
                  <c:v>82.760947744514496</c:v>
                </c:pt>
                <c:pt idx="16">
                  <c:v>86.674952239391985</c:v>
                </c:pt>
                <c:pt idx="17">
                  <c:v>90.474956603350719</c:v>
                </c:pt>
                <c:pt idx="18">
                  <c:v>94.164281228553349</c:v>
                </c:pt>
                <c:pt idx="19">
                  <c:v>97.746149796711265</c:v>
                </c:pt>
                <c:pt idx="20">
                  <c:v>101.22369209589371</c:v>
                </c:pt>
                <c:pt idx="21">
                  <c:v>104.59994675529413</c:v>
                </c:pt>
                <c:pt idx="22">
                  <c:v>107.87786390034309</c:v>
                </c:pt>
                <c:pt idx="23">
                  <c:v>111.06030773048771</c:v>
                </c:pt>
                <c:pt idx="24">
                  <c:v>114.15005902189026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7C-49A2-BAE8-240F48ED90D9}"/>
            </c:ext>
          </c:extLst>
        </c:ser>
        <c:ser>
          <c:idx val="3"/>
          <c:order val="3"/>
          <c:tx>
            <c:strRef>
              <c:f>General_Modified!$AG$60</c:f>
              <c:strCache>
                <c:ptCount val="1"/>
                <c:pt idx="0">
                  <c:v>4 Large Soft Sails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General_Modified!$K$221:$K$245</c:f>
              <c:numCache>
                <c:formatCode>General</c:formatCode>
                <c:ptCount val="25"/>
                <c:pt idx="0">
                  <c:v>8.2321741829233641</c:v>
                </c:pt>
                <c:pt idx="1">
                  <c:v>14.282828729450904</c:v>
                </c:pt>
                <c:pt idx="2">
                  <c:v>20.157250619283463</c:v>
                </c:pt>
                <c:pt idx="3">
                  <c:v>25.860572842421874</c:v>
                </c:pt>
                <c:pt idx="4">
                  <c:v>31.397778884303825</c:v>
                </c:pt>
                <c:pt idx="5">
                  <c:v>36.773707080305719</c:v>
                </c:pt>
                <c:pt idx="6">
                  <c:v>41.993054843414349</c:v>
                </c:pt>
                <c:pt idx="7">
                  <c:v>47.060382768762544</c:v>
                </c:pt>
                <c:pt idx="8">
                  <c:v>51.980118618615158</c:v>
                </c:pt>
                <c:pt idx="9">
                  <c:v>56.756561191287595</c:v>
                </c:pt>
                <c:pt idx="10">
                  <c:v>61.393884077377336</c:v>
                </c:pt>
                <c:pt idx="11">
                  <c:v>65.896139306590683</c:v>
                </c:pt>
                <c:pt idx="12">
                  <c:v>70.267260888351203</c:v>
                </c:pt>
                <c:pt idx="13">
                  <c:v>74.511068249283767</c:v>
                </c:pt>
                <c:pt idx="14">
                  <c:v>78.631269570577501</c:v>
                </c:pt>
                <c:pt idx="15">
                  <c:v>82.631465028144234</c:v>
                </c:pt>
                <c:pt idx="16">
                  <c:v>86.515149938403198</c:v>
                </c:pt>
                <c:pt idx="17">
                  <c:v>90.285717812441035</c:v>
                </c:pt>
                <c:pt idx="18">
                  <c:v>93.946463321215631</c:v>
                </c:pt>
                <c:pt idx="19">
                  <c:v>97.500585174394843</c:v>
                </c:pt>
                <c:pt idx="20">
                  <c:v>100.95118891534555</c:v>
                </c:pt>
                <c:pt idx="21">
                  <c:v>104.30128963471516</c:v>
                </c:pt>
                <c:pt idx="22">
                  <c:v>107.55381460497691</c:v>
                </c:pt>
                <c:pt idx="23">
                  <c:v>110.71160583824076</c:v>
                </c:pt>
                <c:pt idx="24">
                  <c:v>113.77742256956488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7C-49A2-BAE8-240F48ED90D9}"/>
            </c:ext>
          </c:extLst>
        </c:ser>
        <c:ser>
          <c:idx val="4"/>
          <c:order val="4"/>
          <c:tx>
            <c:strRef>
              <c:f>General_Modified!$AG$61</c:f>
              <c:strCache>
                <c:ptCount val="1"/>
                <c:pt idx="0">
                  <c:v>6 Small Soft Sails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General_Modified!$N$221:$N$245</c:f>
              <c:numCache>
                <c:formatCode>General</c:formatCode>
                <c:ptCount val="25"/>
                <c:pt idx="0">
                  <c:v>8.5063846902891154</c:v>
                </c:pt>
                <c:pt idx="1">
                  <c:v>14.580544583773696</c:v>
                </c:pt>
                <c:pt idx="2">
                  <c:v>20.477787198807267</c:v>
                </c:pt>
                <c:pt idx="3">
                  <c:v>26.20326546583015</c:v>
                </c:pt>
                <c:pt idx="4">
                  <c:v>31.761982229930041</c:v>
                </c:pt>
                <c:pt idx="5">
                  <c:v>37.158794622260025</c:v>
                </c:pt>
                <c:pt idx="6">
                  <c:v>42.398418304133806</c:v>
                </c:pt>
                <c:pt idx="7">
                  <c:v>47.485431587506397</c:v>
                </c:pt>
                <c:pt idx="8">
                  <c:v>52.424279435440958</c:v>
                </c:pt>
                <c:pt idx="9">
                  <c:v>57.219277346057034</c:v>
                </c:pt>
                <c:pt idx="10">
                  <c:v>61.874615123354197</c:v>
                </c:pt>
                <c:pt idx="11">
                  <c:v>66.394360538205817</c:v>
                </c:pt>
                <c:pt idx="12">
                  <c:v>70.782462882721944</c:v>
                </c:pt>
                <c:pt idx="13">
                  <c:v>75.04275642108712</c:v>
                </c:pt>
                <c:pt idx="14">
                  <c:v>79.178963739888246</c:v>
                </c:pt>
                <c:pt idx="15">
                  <c:v>83.194699000860226</c:v>
                </c:pt>
                <c:pt idx="16">
                  <c:v>87.093471098891271</c:v>
                </c:pt>
                <c:pt idx="17">
                  <c:v>90.87868672804764</c:v>
                </c:pt>
                <c:pt idx="18">
                  <c:v>94.553653358296529</c:v>
                </c:pt>
                <c:pt idx="19">
                  <c:v>98.121582125528477</c:v>
                </c:pt>
                <c:pt idx="20">
                  <c:v>101.58559063740412</c:v>
                </c:pt>
                <c:pt idx="21">
                  <c:v>104.94870569747759</c:v>
                </c:pt>
                <c:pt idx="22">
                  <c:v>108.2138659499761</c:v>
                </c:pt>
                <c:pt idx="23">
                  <c:v>111.38392444754747</c:v>
                </c:pt>
                <c:pt idx="24">
                  <c:v>114.46165114421869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5F-4D61-B0D8-1007E7A2D8C1}"/>
            </c:ext>
          </c:extLst>
        </c:ser>
        <c:ser>
          <c:idx val="5"/>
          <c:order val="5"/>
          <c:tx>
            <c:strRef>
              <c:f>General_Modified!$AG$62</c:f>
              <c:strCache>
                <c:ptCount val="1"/>
                <c:pt idx="0">
                  <c:v>6 Large Soft Sails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General_Modified!$Q$221:$Q$245</c:f>
              <c:numCache>
                <c:formatCode>General</c:formatCode>
                <c:ptCount val="25"/>
                <c:pt idx="0">
                  <c:v>9.1813826961129941</c:v>
                </c:pt>
                <c:pt idx="1">
                  <c:v>15.182725119523667</c:v>
                </c:pt>
                <c:pt idx="2">
                  <c:v>21.00927116166995</c:v>
                </c:pt>
                <c:pt idx="3">
                  <c:v>26.666111979287702</c:v>
                </c:pt>
                <c:pt idx="4">
                  <c:v>32.158190442994261</c:v>
                </c:pt>
                <c:pt idx="5">
                  <c:v>37.490305456301591</c:v>
                </c:pt>
                <c:pt idx="6">
                  <c:v>42.667116148832982</c:v>
                </c:pt>
                <c:pt idx="7">
                  <c:v>47.693145947407153</c:v>
                </c:pt>
                <c:pt idx="8">
                  <c:v>52.57278652854712</c:v>
                </c:pt>
                <c:pt idx="9">
                  <c:v>57.310301655867477</c:v>
                </c:pt>
                <c:pt idx="10">
                  <c:v>61.90983090569307</c:v>
                </c:pt>
                <c:pt idx="11">
                  <c:v>66.375393284164517</c:v>
                </c:pt>
                <c:pt idx="12">
                  <c:v>70.710890738991168</c:v>
                </c:pt>
                <c:pt idx="13">
                  <c:v>74.92011156891995</c:v>
                </c:pt>
                <c:pt idx="14">
                  <c:v>79.006733733899353</c:v>
                </c:pt>
                <c:pt idx="15">
                  <c:v>82.974328068830815</c:v>
                </c:pt>
                <c:pt idx="16">
                  <c:v>86.826361403715737</c:v>
                </c:pt>
                <c:pt idx="17">
                  <c:v>90.566199592924391</c:v>
                </c:pt>
                <c:pt idx="18">
                  <c:v>94.197110456233759</c:v>
                </c:pt>
                <c:pt idx="19">
                  <c:v>97.722266634204018</c:v>
                </c:pt>
                <c:pt idx="20">
                  <c:v>101.14474836038875</c:v>
                </c:pt>
                <c:pt idx="21">
                  <c:v>104.46754615280109</c:v>
                </c:pt>
                <c:pt idx="22">
                  <c:v>107.69356342698784</c:v>
                </c:pt>
                <c:pt idx="23">
                  <c:v>110.8256190329944</c:v>
                </c:pt>
                <c:pt idx="24">
                  <c:v>113.86644971843764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5F-4D61-B0D8-1007E7A2D8C1}"/>
            </c:ext>
          </c:extLst>
        </c:ser>
        <c:ser>
          <c:idx val="6"/>
          <c:order val="6"/>
          <c:tx>
            <c:strRef>
              <c:f>General_Modified!$AG$63</c:f>
              <c:strCache>
                <c:ptCount val="1"/>
                <c:pt idx="0">
                  <c:v>2 Rotor Sails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General_Modified!$T$221:$T$245</c:f>
              <c:numCache>
                <c:formatCode>General</c:formatCode>
                <c:ptCount val="25"/>
                <c:pt idx="0">
                  <c:v>7.1512233366148994</c:v>
                </c:pt>
                <c:pt idx="1">
                  <c:v>12.3951294886682</c:v>
                </c:pt>
                <c:pt idx="2">
                  <c:v>17.486300510079172</c:v>
                </c:pt>
                <c:pt idx="3">
                  <c:v>22.42918499688594</c:v>
                </c:pt>
                <c:pt idx="4">
                  <c:v>27.22810197436824</c:v>
                </c:pt>
                <c:pt idx="5">
                  <c:v>31.887244670952999</c:v>
                </c:pt>
                <c:pt idx="6">
                  <c:v>36.410684182200335</c:v>
                </c:pt>
                <c:pt idx="7">
                  <c:v>40.802373028071536</c:v>
                </c:pt>
                <c:pt idx="8">
                  <c:v>45.066148606587269</c:v>
                </c:pt>
                <c:pt idx="9">
                  <c:v>49.205736546893803</c:v>
                </c:pt>
                <c:pt idx="10">
                  <c:v>53.224753964667144</c:v>
                </c:pt>
                <c:pt idx="11">
                  <c:v>57.126712622699507</c:v>
                </c:pt>
                <c:pt idx="12">
                  <c:v>60.915021999429953</c:v>
                </c:pt>
                <c:pt idx="13">
                  <c:v>64.592992268100289</c:v>
                </c:pt>
                <c:pt idx="14">
                  <c:v>68.163837189139457</c:v>
                </c:pt>
                <c:pt idx="15">
                  <c:v>71.630676918303692</c:v>
                </c:pt>
                <c:pt idx="16">
                  <c:v>74.996540733026265</c:v>
                </c:pt>
                <c:pt idx="17">
                  <c:v>78.26436967935885</c:v>
                </c:pt>
                <c:pt idx="18">
                  <c:v>81.437019141817672</c:v>
                </c:pt>
                <c:pt idx="19">
                  <c:v>84.51726133837964</c:v>
                </c:pt>
                <c:pt idx="20">
                  <c:v>87.507787742808731</c:v>
                </c:pt>
                <c:pt idx="21">
                  <c:v>90.411211436429198</c:v>
                </c:pt>
                <c:pt idx="22">
                  <c:v>93.230069391400534</c:v>
                </c:pt>
                <c:pt idx="23">
                  <c:v>95.966824687489208</c:v>
                </c:pt>
                <c:pt idx="24">
                  <c:v>98.62386866427434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5F-4D61-B0D8-1007E7A2D8C1}"/>
            </c:ext>
          </c:extLst>
        </c:ser>
        <c:ser>
          <c:idx val="7"/>
          <c:order val="7"/>
          <c:tx>
            <c:strRef>
              <c:f>General_Modified!$AG$64</c:f>
              <c:strCache>
                <c:ptCount val="1"/>
                <c:pt idx="0">
                  <c:v>4 Rotor Sails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General_Modified!$W$221:$W$245</c:f>
              <c:numCache>
                <c:formatCode>General</c:formatCode>
                <c:ptCount val="25"/>
                <c:pt idx="0">
                  <c:v>7.9175038420979629</c:v>
                </c:pt>
                <c:pt idx="1">
                  <c:v>12.206342523746471</c:v>
                </c:pt>
                <c:pt idx="2">
                  <c:v>16.370263573890654</c:v>
                </c:pt>
                <c:pt idx="3">
                  <c:v>20.412905370147143</c:v>
                </c:pt>
                <c:pt idx="4">
                  <c:v>24.337800317968977</c:v>
                </c:pt>
                <c:pt idx="5">
                  <c:v>28.148377937213471</c:v>
                </c:pt>
                <c:pt idx="6">
                  <c:v>31.847967858810076</c:v>
                </c:pt>
                <c:pt idx="7">
                  <c:v>35.439802734146582</c:v>
                </c:pt>
                <c:pt idx="8">
                  <c:v>38.927021059716004</c:v>
                </c:pt>
                <c:pt idx="9">
                  <c:v>42.312669919492137</c:v>
                </c:pt>
                <c:pt idx="10">
                  <c:v>45.599707647430137</c:v>
                </c:pt>
                <c:pt idx="11">
                  <c:v>48.791006412418483</c:v>
                </c:pt>
                <c:pt idx="12">
                  <c:v>51.889354727941154</c:v>
                </c:pt>
                <c:pt idx="13">
                  <c:v>54.897459888642771</c:v>
                </c:pt>
                <c:pt idx="14">
                  <c:v>57.8179503359259</c:v>
                </c:pt>
                <c:pt idx="15">
                  <c:v>60.653377954647375</c:v>
                </c:pt>
                <c:pt idx="16">
                  <c:v>63.406220302920659</c:v>
                </c:pt>
                <c:pt idx="17">
                  <c:v>66.078882776972392</c:v>
                </c:pt>
                <c:pt idx="18">
                  <c:v>68.673700712944949</c:v>
                </c:pt>
                <c:pt idx="19">
                  <c:v>71.192941427481415</c:v>
                </c:pt>
                <c:pt idx="20">
                  <c:v>73.63880619887604</c:v>
                </c:pt>
                <c:pt idx="21">
                  <c:v>76.0134321905213</c:v>
                </c:pt>
                <c:pt idx="22">
                  <c:v>78.318894318332241</c:v>
                </c:pt>
                <c:pt idx="23">
                  <c:v>80.557207063779757</c:v>
                </c:pt>
                <c:pt idx="24">
                  <c:v>82.730326234117143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A5F-4D61-B0D8-1007E7A2D8C1}"/>
            </c:ext>
          </c:extLst>
        </c:ser>
        <c:ser>
          <c:idx val="8"/>
          <c:order val="8"/>
          <c:tx>
            <c:strRef>
              <c:f>General_Modified!$AG$65</c:f>
              <c:strCache>
                <c:ptCount val="1"/>
                <c:pt idx="0">
                  <c:v>4 Sunction Sails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General_Modified!$Z$221:$Z$245</c:f>
              <c:numCache>
                <c:formatCode>General</c:formatCode>
                <c:ptCount val="25"/>
                <c:pt idx="0">
                  <c:v>7.6721026098983538</c:v>
                </c:pt>
                <c:pt idx="1">
                  <c:v>13.178998347663747</c:v>
                </c:pt>
                <c:pt idx="2">
                  <c:v>18.525499063940828</c:v>
                </c:pt>
                <c:pt idx="3">
                  <c:v>23.716276458384595</c:v>
                </c:pt>
                <c:pt idx="4">
                  <c:v>28.755866161728061</c:v>
                </c:pt>
                <c:pt idx="5">
                  <c:v>33.648671698954722</c:v>
                </c:pt>
                <c:pt idx="6">
                  <c:v>38.398968337038859</c:v>
                </c:pt>
                <c:pt idx="7">
                  <c:v>43.010906820615695</c:v>
                </c:pt>
                <c:pt idx="8">
                  <c:v>47.488516998845633</c:v>
                </c:pt>
                <c:pt idx="9">
                  <c:v>51.835711346641681</c:v>
                </c:pt>
                <c:pt idx="10">
                  <c:v>56.056288383336877</c:v>
                </c:pt>
                <c:pt idx="11">
                  <c:v>60.153935991778823</c:v>
                </c:pt>
                <c:pt idx="12">
                  <c:v>64.132234640751577</c:v>
                </c:pt>
                <c:pt idx="13">
                  <c:v>67.994660513540651</c:v>
                </c:pt>
                <c:pt idx="14">
                  <c:v>71.744588545374725</c:v>
                </c:pt>
                <c:pt idx="15">
                  <c:v>75.385295372398076</c:v>
                </c:pt>
                <c:pt idx="16">
                  <c:v>78.919962194750866</c:v>
                </c:pt>
                <c:pt idx="17">
                  <c:v>82.351677556258409</c:v>
                </c:pt>
                <c:pt idx="18">
                  <c:v>85.683440043158953</c:v>
                </c:pt>
                <c:pt idx="19">
                  <c:v>88.918160904227435</c:v>
                </c:pt>
                <c:pt idx="20">
                  <c:v>92.058666594585176</c:v>
                </c:pt>
                <c:pt idx="21">
                  <c:v>95.107701245417957</c:v>
                </c:pt>
                <c:pt idx="22">
                  <c:v>98.067929061760438</c:v>
                </c:pt>
                <c:pt idx="23">
                  <c:v>100.94193665044247</c:v>
                </c:pt>
                <c:pt idx="24">
                  <c:v>103.73223528023085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A5F-4D61-B0D8-1007E7A2D8C1}"/>
            </c:ext>
          </c:extLst>
        </c:ser>
        <c:ser>
          <c:idx val="9"/>
          <c:order val="9"/>
          <c:tx>
            <c:strRef>
              <c:f>General_Modified!$AG$66</c:f>
              <c:strCache>
                <c:ptCount val="1"/>
                <c:pt idx="0">
                  <c:v>6 Sunction Sails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General_Modified!$AC$221:$AC$245</c:f>
              <c:numCache>
                <c:formatCode>General</c:formatCode>
                <c:ptCount val="25"/>
                <c:pt idx="0">
                  <c:v>7.8194926060164862</c:v>
                </c:pt>
                <c:pt idx="1">
                  <c:v>12.984048534187831</c:v>
                </c:pt>
                <c:pt idx="2">
                  <c:v>17.998180503286225</c:v>
                </c:pt>
                <c:pt idx="3">
                  <c:v>22.866269793673016</c:v>
                </c:pt>
                <c:pt idx="4">
                  <c:v>27.592570075601937</c:v>
                </c:pt>
                <c:pt idx="5">
                  <c:v>32.181211126018368</c:v>
                </c:pt>
                <c:pt idx="6">
                  <c:v>36.636202437102284</c:v>
                </c:pt>
                <c:pt idx="7">
                  <c:v>40.961436719708026</c:v>
                </c:pt>
                <c:pt idx="8">
                  <c:v>45.160693304762141</c:v>
                </c:pt>
                <c:pt idx="9">
                  <c:v>49.237641445591386</c:v>
                </c:pt>
                <c:pt idx="10">
                  <c:v>53.195843524066376</c:v>
                </c:pt>
                <c:pt idx="11">
                  <c:v>57.038758163362481</c:v>
                </c:pt>
                <c:pt idx="12">
                  <c:v>60.769743250057729</c:v>
                </c:pt>
                <c:pt idx="13">
                  <c:v>64.392058868208451</c:v>
                </c:pt>
                <c:pt idx="14">
                  <c:v>67.908870147966439</c:v>
                </c:pt>
                <c:pt idx="15">
                  <c:v>71.323250031226635</c:v>
                </c:pt>
                <c:pt idx="16">
                  <c:v>74.638181956721965</c:v>
                </c:pt>
                <c:pt idx="17">
                  <c:v>77.856562466911598</c:v>
                </c:pt>
                <c:pt idx="18">
                  <c:v>80.98120373894038</c:v>
                </c:pt>
                <c:pt idx="19">
                  <c:v>84.01483604188094</c:v>
                </c:pt>
                <c:pt idx="20">
                  <c:v>86.960110122405752</c:v>
                </c:pt>
                <c:pt idx="21">
                  <c:v>89.81959952097354</c:v>
                </c:pt>
                <c:pt idx="22">
                  <c:v>92.595802820553899</c:v>
                </c:pt>
                <c:pt idx="23">
                  <c:v>95.291145829855225</c:v>
                </c:pt>
                <c:pt idx="24">
                  <c:v>97.907983702963307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A5F-4D61-B0D8-1007E7A2D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7079047"/>
        <c:axId val="51708109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237C-49A2-BAE8-240F48ED90D9}"/>
                  </c:ext>
                </c:extLst>
              </c15:ser>
            </c15:filteredLineSeries>
          </c:ext>
        </c:extLst>
      </c:lineChart>
      <c:catAx>
        <c:axId val="5170790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Year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17081095"/>
        <c:crosses val="autoZero"/>
        <c:auto val="1"/>
        <c:lblAlgn val="ctr"/>
        <c:lblOffset val="100"/>
        <c:noMultiLvlLbl val="0"/>
      </c:catAx>
      <c:valAx>
        <c:axId val="517081095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Total Cost in Million USD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17079047"/>
        <c:crosses val="autoZero"/>
        <c:crossBetween val="between"/>
      </c:valAx>
      <c:spPr>
        <a:noFill/>
        <a:ln w="9525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Estimated</a:t>
            </a:r>
            <a:r>
              <a:rPr lang="en-US" baseline="0"/>
              <a:t> Total Cost of WAPS for 10, 20, 25 years</a:t>
            </a:r>
            <a:r>
              <a:rPr lang="en-US"/>
              <a:t> 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v>10 years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General_Modified!$AG$58:$AG$66</c:f>
              <c:strCache>
                <c:ptCount val="9"/>
                <c:pt idx="0">
                  <c:v>No Sail</c:v>
                </c:pt>
                <c:pt idx="1">
                  <c:v>4 Small Soft Sails</c:v>
                </c:pt>
                <c:pt idx="2">
                  <c:v>4 Large Soft Sails</c:v>
                </c:pt>
                <c:pt idx="3">
                  <c:v>6 Small Soft Sails</c:v>
                </c:pt>
                <c:pt idx="4">
                  <c:v>6 Large Soft Sails</c:v>
                </c:pt>
                <c:pt idx="5">
                  <c:v>2 Rotor Sails</c:v>
                </c:pt>
                <c:pt idx="6">
                  <c:v>4 Rotor Sails</c:v>
                </c:pt>
                <c:pt idx="7">
                  <c:v>4 Sunction Sails</c:v>
                </c:pt>
                <c:pt idx="8">
                  <c:v>6 Sunction Sails</c:v>
                </c:pt>
              </c:strCache>
            </c:strRef>
          </c:cat>
          <c:val>
            <c:numRef>
              <c:f>(General_Modified!$E$230,General_Modified!$H$230,General_Modified!$K$230,General_Modified!$N$230,General_Modified!$Q$230,General_Modified!$T$230,General_Modified!$W$230,General_Modified!$Z$230,General_Modified!$AC$230)</c:f>
              <c:numCache>
                <c:formatCode>General</c:formatCode>
                <c:ptCount val="9"/>
                <c:pt idx="0">
                  <c:v>55.755779442164034</c:v>
                </c:pt>
                <c:pt idx="1">
                  <c:v>56.684040821798519</c:v>
                </c:pt>
                <c:pt idx="2">
                  <c:v>56.756561191287595</c:v>
                </c:pt>
                <c:pt idx="3">
                  <c:v>57.219277346057034</c:v>
                </c:pt>
                <c:pt idx="4">
                  <c:v>57.310301655867477</c:v>
                </c:pt>
                <c:pt idx="5">
                  <c:v>49.205736546893803</c:v>
                </c:pt>
                <c:pt idx="6">
                  <c:v>42.312669919492137</c:v>
                </c:pt>
                <c:pt idx="7">
                  <c:v>51.835711346641681</c:v>
                </c:pt>
                <c:pt idx="8">
                  <c:v>49.237641445591386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B5-463E-9092-8B1CB3CE676E}"/>
            </c:ext>
          </c:extLst>
        </c:ser>
        <c:ser>
          <c:idx val="1"/>
          <c:order val="1"/>
          <c:tx>
            <c:v>20 years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General_Modified!$AG$58:$AG$66</c:f>
              <c:strCache>
                <c:ptCount val="9"/>
                <c:pt idx="0">
                  <c:v>No Sail</c:v>
                </c:pt>
                <c:pt idx="1">
                  <c:v>4 Small Soft Sails</c:v>
                </c:pt>
                <c:pt idx="2">
                  <c:v>4 Large Soft Sails</c:v>
                </c:pt>
                <c:pt idx="3">
                  <c:v>6 Small Soft Sails</c:v>
                </c:pt>
                <c:pt idx="4">
                  <c:v>6 Large Soft Sails</c:v>
                </c:pt>
                <c:pt idx="5">
                  <c:v>2 Rotor Sails</c:v>
                </c:pt>
                <c:pt idx="6">
                  <c:v>4 Rotor Sails</c:v>
                </c:pt>
                <c:pt idx="7">
                  <c:v>4 Sunction Sails</c:v>
                </c:pt>
                <c:pt idx="8">
                  <c:v>6 Sunction Sails</c:v>
                </c:pt>
              </c:strCache>
            </c:strRef>
          </c:cat>
          <c:val>
            <c:numRef>
              <c:f>(General_Modified!$E$240,General_Modified!$H$240,General_Modified!$K$240,General_Modified!$N$240,General_Modified!$Q$240,General_Modified!$T$240,General_Modified!$W$240,General_Modified!$Z$240,General_Modified!$AC$240)</c:f>
              <c:numCache>
                <c:formatCode>General</c:formatCode>
                <c:ptCount val="9"/>
                <c:pt idx="0">
                  <c:v>97.24331564540222</c:v>
                </c:pt>
                <c:pt idx="1">
                  <c:v>97.746149796711265</c:v>
                </c:pt>
                <c:pt idx="2">
                  <c:v>97.500585174394843</c:v>
                </c:pt>
                <c:pt idx="3">
                  <c:v>98.121582125528477</c:v>
                </c:pt>
                <c:pt idx="4">
                  <c:v>97.722266634204018</c:v>
                </c:pt>
                <c:pt idx="5">
                  <c:v>84.51726133837964</c:v>
                </c:pt>
                <c:pt idx="6">
                  <c:v>71.192941427481415</c:v>
                </c:pt>
                <c:pt idx="7">
                  <c:v>88.918160904227435</c:v>
                </c:pt>
                <c:pt idx="8">
                  <c:v>84.01483604188094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B5-463E-9092-8B1CB3CE676E}"/>
            </c:ext>
          </c:extLst>
        </c:ser>
        <c:ser>
          <c:idx val="2"/>
          <c:order val="2"/>
          <c:tx>
            <c:v>25 years</c:v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General_Modified!$AG$58:$AG$66</c:f>
              <c:strCache>
                <c:ptCount val="9"/>
                <c:pt idx="0">
                  <c:v>No Sail</c:v>
                </c:pt>
                <c:pt idx="1">
                  <c:v>4 Small Soft Sails</c:v>
                </c:pt>
                <c:pt idx="2">
                  <c:v>4 Large Soft Sails</c:v>
                </c:pt>
                <c:pt idx="3">
                  <c:v>6 Small Soft Sails</c:v>
                </c:pt>
                <c:pt idx="4">
                  <c:v>6 Large Soft Sails</c:v>
                </c:pt>
                <c:pt idx="5">
                  <c:v>2 Rotor Sails</c:v>
                </c:pt>
                <c:pt idx="6">
                  <c:v>4 Rotor Sails</c:v>
                </c:pt>
                <c:pt idx="7">
                  <c:v>4 Sunction Sails</c:v>
                </c:pt>
                <c:pt idx="8">
                  <c:v>6 Sunction Sails</c:v>
                </c:pt>
              </c:strCache>
            </c:strRef>
          </c:cat>
          <c:val>
            <c:numRef>
              <c:f>(General_Modified!$E$245,General_Modified!$H$245,General_Modified!$K$245,General_Modified!$N$245,General_Modified!$Q$245,General_Modified!$T$245,General_Modified!$W$245,General_Modified!$Z$245,General_Modified!$AC$245)</c:f>
              <c:numCache>
                <c:formatCode>General</c:formatCode>
                <c:ptCount val="9"/>
                <c:pt idx="0">
                  <c:v>113.81717886976895</c:v>
                </c:pt>
                <c:pt idx="1">
                  <c:v>114.15005902189026</c:v>
                </c:pt>
                <c:pt idx="2">
                  <c:v>113.77742256956488</c:v>
                </c:pt>
                <c:pt idx="3">
                  <c:v>114.46165114421869</c:v>
                </c:pt>
                <c:pt idx="4">
                  <c:v>113.86644971843764</c:v>
                </c:pt>
                <c:pt idx="5">
                  <c:v>98.62386866427434</c:v>
                </c:pt>
                <c:pt idx="6">
                  <c:v>82.730326234117143</c:v>
                </c:pt>
                <c:pt idx="7">
                  <c:v>103.73223528023085</c:v>
                </c:pt>
                <c:pt idx="8">
                  <c:v>97.907983702963307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B5-463E-9092-8B1CB3CE6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63515840"/>
        <c:axId val="1863517280"/>
        <c:axId val="0"/>
      </c:bar3DChart>
      <c:catAx>
        <c:axId val="18635158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Case Study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63517280"/>
        <c:crosses val="autoZero"/>
        <c:auto val="1"/>
        <c:lblAlgn val="ctr"/>
        <c:lblOffset val="100"/>
        <c:noMultiLvlLbl val="0"/>
      </c:catAx>
      <c:valAx>
        <c:axId val="1863517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Million</a:t>
                </a:r>
                <a:r>
                  <a:rPr lang="en-US" baseline="0"/>
                  <a:t> USD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6351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285750</xdr:colOff>
      <xdr:row>16</xdr:row>
      <xdr:rowOff>47625</xdr:rowOff>
    </xdr:from>
    <xdr:to>
      <xdr:col>28</xdr:col>
      <xdr:colOff>281456</xdr:colOff>
      <xdr:row>29</xdr:row>
      <xdr:rowOff>72589</xdr:rowOff>
    </xdr:to>
    <xdr:pic>
      <xdr:nvPicPr>
        <xdr:cNvPr id="2" name="Εικόνα 1">
          <a:extLst>
            <a:ext uri="{FF2B5EF4-FFF2-40B4-BE49-F238E27FC236}">
              <a16:creationId xmlns:a16="http://schemas.microsoft.com/office/drawing/2014/main" id="{7AF58EB2-D929-A077-9AA8-6E58F78C9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00750" y="3492500"/>
          <a:ext cx="8901581" cy="3498414"/>
        </a:xfrm>
        <a:prstGeom prst="rect">
          <a:avLst/>
        </a:prstGeom>
      </xdr:spPr>
    </xdr:pic>
    <xdr:clientData/>
  </xdr:twoCellAnchor>
  <xdr:twoCellAnchor>
    <xdr:from>
      <xdr:col>20</xdr:col>
      <xdr:colOff>6350</xdr:colOff>
      <xdr:row>40</xdr:row>
      <xdr:rowOff>129115</xdr:rowOff>
    </xdr:from>
    <xdr:to>
      <xdr:col>28</xdr:col>
      <xdr:colOff>666750</xdr:colOff>
      <xdr:row>72</xdr:row>
      <xdr:rowOff>137583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1FCCAA78-78D3-4AC1-B3F9-F0F83C797A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200025</xdr:colOff>
      <xdr:row>33</xdr:row>
      <xdr:rowOff>38100</xdr:rowOff>
    </xdr:from>
    <xdr:to>
      <xdr:col>3</xdr:col>
      <xdr:colOff>1803412</xdr:colOff>
      <xdr:row>33</xdr:row>
      <xdr:rowOff>641656</xdr:rowOff>
    </xdr:to>
    <xdr:pic>
      <xdr:nvPicPr>
        <xdr:cNvPr id="10" name="Εικόνα 9">
          <a:extLst>
            <a:ext uri="{FF2B5EF4-FFF2-40B4-BE49-F238E27FC236}">
              <a16:creationId xmlns:a16="http://schemas.microsoft.com/office/drawing/2014/main" id="{A9033C25-E71B-9262-B681-B2E3237F9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95700" y="6753225"/>
          <a:ext cx="1603387" cy="603556"/>
        </a:xfrm>
        <a:prstGeom prst="rect">
          <a:avLst/>
        </a:prstGeom>
      </xdr:spPr>
    </xdr:pic>
    <xdr:clientData/>
  </xdr:twoCellAnchor>
  <xdr:twoCellAnchor editAs="oneCell">
    <xdr:from>
      <xdr:col>2</xdr:col>
      <xdr:colOff>200025</xdr:colOff>
      <xdr:row>63</xdr:row>
      <xdr:rowOff>66675</xdr:rowOff>
    </xdr:from>
    <xdr:to>
      <xdr:col>9</xdr:col>
      <xdr:colOff>856201</xdr:colOff>
      <xdr:row>79</xdr:row>
      <xdr:rowOff>142484</xdr:rowOff>
    </xdr:to>
    <xdr:pic>
      <xdr:nvPicPr>
        <xdr:cNvPr id="14" name="Εικόνα 13">
          <a:extLst>
            <a:ext uri="{FF2B5EF4-FFF2-40B4-BE49-F238E27FC236}">
              <a16:creationId xmlns:a16="http://schemas.microsoft.com/office/drawing/2014/main" id="{DAAAD78A-541C-BD96-8AE3-474681D90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67025" y="14392275"/>
          <a:ext cx="8390476" cy="3123809"/>
        </a:xfrm>
        <a:prstGeom prst="rect">
          <a:avLst/>
        </a:prstGeom>
      </xdr:spPr>
    </xdr:pic>
    <xdr:clientData/>
  </xdr:twoCellAnchor>
  <xdr:twoCellAnchor editAs="oneCell">
    <xdr:from>
      <xdr:col>2</xdr:col>
      <xdr:colOff>771525</xdr:colOff>
      <xdr:row>38</xdr:row>
      <xdr:rowOff>161925</xdr:rowOff>
    </xdr:from>
    <xdr:to>
      <xdr:col>4</xdr:col>
      <xdr:colOff>30434</xdr:colOff>
      <xdr:row>38</xdr:row>
      <xdr:rowOff>428625</xdr:rowOff>
    </xdr:to>
    <xdr:pic>
      <xdr:nvPicPr>
        <xdr:cNvPr id="15" name="Εικόνα 14">
          <a:extLst>
            <a:ext uri="{FF2B5EF4-FFF2-40B4-BE49-F238E27FC236}">
              <a16:creationId xmlns:a16="http://schemas.microsoft.com/office/drawing/2014/main" id="{D8872229-1583-F099-DC27-E4AA2AE98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38525" y="9067800"/>
          <a:ext cx="2211659" cy="266700"/>
        </a:xfrm>
        <a:prstGeom prst="rect">
          <a:avLst/>
        </a:prstGeom>
      </xdr:spPr>
    </xdr:pic>
    <xdr:clientData/>
  </xdr:twoCellAnchor>
  <xdr:twoCellAnchor editAs="oneCell">
    <xdr:from>
      <xdr:col>22</xdr:col>
      <xdr:colOff>285750</xdr:colOff>
      <xdr:row>36</xdr:row>
      <xdr:rowOff>708025</xdr:rowOff>
    </xdr:from>
    <xdr:to>
      <xdr:col>27</xdr:col>
      <xdr:colOff>865388</xdr:colOff>
      <xdr:row>38</xdr:row>
      <xdr:rowOff>509584</xdr:rowOff>
    </xdr:to>
    <xdr:pic>
      <xdr:nvPicPr>
        <xdr:cNvPr id="16" name="Εικόνα 15">
          <a:extLst>
            <a:ext uri="{FF2B5EF4-FFF2-40B4-BE49-F238E27FC236}">
              <a16:creationId xmlns:a16="http://schemas.microsoft.com/office/drawing/2014/main" id="{8F5651BC-5CFF-72A8-15D1-B6CD60484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621625" y="9852025"/>
          <a:ext cx="6225846" cy="928684"/>
        </a:xfrm>
        <a:prstGeom prst="rect">
          <a:avLst/>
        </a:prstGeom>
      </xdr:spPr>
    </xdr:pic>
    <xdr:clientData/>
  </xdr:twoCellAnchor>
  <xdr:twoCellAnchor>
    <xdr:from>
      <xdr:col>23</xdr:col>
      <xdr:colOff>359832</xdr:colOff>
      <xdr:row>247</xdr:row>
      <xdr:rowOff>162982</xdr:rowOff>
    </xdr:from>
    <xdr:to>
      <xdr:col>28</xdr:col>
      <xdr:colOff>328082</xdr:colOff>
      <xdr:row>279</xdr:row>
      <xdr:rowOff>169333</xdr:rowOff>
    </xdr:to>
    <xdr:graphicFrame macro="">
      <xdr:nvGraphicFramePr>
        <xdr:cNvPr id="4" name="Γράφημα 3">
          <a:extLst>
            <a:ext uri="{FF2B5EF4-FFF2-40B4-BE49-F238E27FC236}">
              <a16:creationId xmlns:a16="http://schemas.microsoft.com/office/drawing/2014/main" id="{05337299-C0EA-C37E-80BC-286D0861A2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Θέμα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EBC8D-A57F-4F56-9FD6-37C38BBE26E7}">
  <dimension ref="A1:BP265"/>
  <sheetViews>
    <sheetView tabSelected="1" topLeftCell="A25" zoomScale="90" zoomScaleNormal="90" workbookViewId="0">
      <pane xSplit="1" topLeftCell="B1" activePane="topRight" state="frozen"/>
      <selection activeCell="A25" sqref="A25"/>
      <selection pane="topRight" activeCell="F39" sqref="F39"/>
    </sheetView>
  </sheetViews>
  <sheetFormatPr defaultRowHeight="15" x14ac:dyDescent="0.25"/>
  <cols>
    <col min="1" max="1" width="24.7109375" customWidth="1"/>
    <col min="2" max="2" width="15.28515625" customWidth="1"/>
    <col min="3" max="3" width="12.42578125" customWidth="1"/>
    <col min="4" max="4" width="31.85546875" customWidth="1"/>
    <col min="5" max="5" width="12.85546875" customWidth="1"/>
    <col min="6" max="6" width="13.42578125" customWidth="1"/>
    <col min="7" max="7" width="14.5703125" customWidth="1"/>
    <col min="8" max="8" width="18.28515625" customWidth="1"/>
    <col min="9" max="9" width="12.5703125" customWidth="1"/>
    <col min="10" max="10" width="13.5703125" customWidth="1"/>
    <col min="11" max="11" width="14" customWidth="1"/>
    <col min="12" max="12" width="18.28515625" customWidth="1"/>
    <col min="13" max="13" width="14.140625" customWidth="1"/>
    <col min="17" max="17" width="11" bestFit="1" customWidth="1"/>
    <col min="19" max="19" width="16.5703125" customWidth="1"/>
    <col min="20" max="20" width="14.7109375" customWidth="1"/>
    <col min="22" max="22" width="16.7109375" customWidth="1"/>
    <col min="23" max="23" width="12.28515625" customWidth="1"/>
    <col min="24" max="24" width="21.7109375" customWidth="1"/>
    <col min="25" max="25" width="15.140625" customWidth="1"/>
    <col min="26" max="26" width="17.28515625" customWidth="1"/>
    <col min="27" max="27" width="18.28515625" customWidth="1"/>
    <col min="28" max="28" width="23.42578125" customWidth="1"/>
    <col min="29" max="29" width="15.7109375" customWidth="1"/>
    <col min="33" max="33" width="16.5703125" bestFit="1" customWidth="1"/>
    <col min="34" max="34" width="21.5703125" customWidth="1"/>
    <col min="35" max="35" width="16.85546875" customWidth="1"/>
    <col min="36" max="36" width="9.140625" customWidth="1"/>
    <col min="40" max="40" width="16.5703125" bestFit="1" customWidth="1"/>
    <col min="41" max="41" width="26.7109375" customWidth="1"/>
    <col min="47" max="47" width="12.42578125" customWidth="1"/>
    <col min="48" max="48" width="23.42578125" customWidth="1"/>
    <col min="54" max="54" width="17" bestFit="1" customWidth="1"/>
    <col min="55" max="55" width="22.7109375" customWidth="1"/>
    <col min="61" max="61" width="17" bestFit="1" customWidth="1"/>
    <col min="68" max="68" width="17" bestFit="1" customWidth="1"/>
  </cols>
  <sheetData>
    <row r="1" spans="1:30" ht="15" customHeight="1" x14ac:dyDescent="0.25">
      <c r="T1" s="1" t="s">
        <v>64</v>
      </c>
      <c r="W1" s="1" t="s">
        <v>0</v>
      </c>
      <c r="X1" s="1" t="s">
        <v>1</v>
      </c>
      <c r="Z1" s="60" t="s">
        <v>143</v>
      </c>
      <c r="AA1" t="s">
        <v>144</v>
      </c>
      <c r="AB1" s="1" t="s">
        <v>141</v>
      </c>
      <c r="AC1" t="s">
        <v>145</v>
      </c>
      <c r="AD1" s="1" t="s">
        <v>142</v>
      </c>
    </row>
    <row r="2" spans="1:30" ht="15.75" thickBot="1" x14ac:dyDescent="0.3">
      <c r="T2" t="s">
        <v>77</v>
      </c>
      <c r="W2">
        <v>25</v>
      </c>
      <c r="X2" s="3">
        <v>190</v>
      </c>
      <c r="Z2" s="60"/>
      <c r="AA2" s="1">
        <v>0</v>
      </c>
      <c r="AB2">
        <v>1.55E-2</v>
      </c>
      <c r="AC2" s="1">
        <v>0</v>
      </c>
      <c r="AD2">
        <v>0</v>
      </c>
    </row>
    <row r="3" spans="1:30" x14ac:dyDescent="0.25">
      <c r="A3" s="9" t="s">
        <v>49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1"/>
      <c r="T3" t="s">
        <v>65</v>
      </c>
      <c r="W3">
        <v>40</v>
      </c>
      <c r="X3" s="3">
        <v>175</v>
      </c>
      <c r="Z3" s="60"/>
      <c r="AA3" s="1">
        <v>2</v>
      </c>
      <c r="AB3">
        <v>0.1157</v>
      </c>
      <c r="AC3" s="1">
        <v>20</v>
      </c>
      <c r="AD3">
        <v>0.06</v>
      </c>
    </row>
    <row r="4" spans="1:30" x14ac:dyDescent="0.25">
      <c r="A4" s="12" t="s">
        <v>55</v>
      </c>
      <c r="B4" s="13" t="s">
        <v>50</v>
      </c>
      <c r="C4" s="13" t="s">
        <v>51</v>
      </c>
      <c r="D4" s="44" t="s">
        <v>124</v>
      </c>
      <c r="E4" s="13" t="s">
        <v>8</v>
      </c>
      <c r="F4" s="13" t="s">
        <v>9</v>
      </c>
      <c r="G4" s="13" t="s">
        <v>10</v>
      </c>
      <c r="H4" s="13" t="s">
        <v>11</v>
      </c>
      <c r="I4" s="13" t="s">
        <v>12</v>
      </c>
      <c r="J4" s="13" t="s">
        <v>13</v>
      </c>
      <c r="K4" s="13" t="s">
        <v>146</v>
      </c>
      <c r="L4" s="14" t="s">
        <v>147</v>
      </c>
      <c r="M4" s="14" t="s">
        <v>148</v>
      </c>
      <c r="T4" t="s">
        <v>66</v>
      </c>
      <c r="W4">
        <v>50</v>
      </c>
      <c r="X4" s="3">
        <v>160</v>
      </c>
      <c r="Z4" s="60"/>
      <c r="AA4" s="1">
        <v>4</v>
      </c>
      <c r="AB4">
        <v>0.19220000000000001</v>
      </c>
      <c r="AC4" s="1">
        <v>40</v>
      </c>
      <c r="AD4">
        <v>0.113</v>
      </c>
    </row>
    <row r="5" spans="1:30" x14ac:dyDescent="0.25">
      <c r="A5" s="15" t="s">
        <v>16</v>
      </c>
      <c r="B5" s="16" t="s">
        <v>17</v>
      </c>
      <c r="C5" s="16" t="s">
        <v>17</v>
      </c>
      <c r="D5" s="17"/>
      <c r="E5" s="19">
        <v>1</v>
      </c>
      <c r="F5" s="19">
        <v>1</v>
      </c>
      <c r="G5" s="19">
        <v>1</v>
      </c>
      <c r="H5" s="19">
        <v>1</v>
      </c>
      <c r="I5" s="19">
        <v>1</v>
      </c>
      <c r="J5" s="19">
        <v>1</v>
      </c>
      <c r="K5" s="19">
        <v>1</v>
      </c>
      <c r="L5" s="19">
        <v>1</v>
      </c>
      <c r="M5" s="19">
        <v>1</v>
      </c>
      <c r="T5" t="s">
        <v>67</v>
      </c>
      <c r="W5">
        <v>75</v>
      </c>
      <c r="X5" s="3">
        <v>155</v>
      </c>
      <c r="Z5" s="60"/>
      <c r="AA5" s="1">
        <v>6</v>
      </c>
      <c r="AB5">
        <v>0.21160000000000001</v>
      </c>
      <c r="AC5" s="1">
        <v>60</v>
      </c>
      <c r="AD5">
        <v>0.153</v>
      </c>
    </row>
    <row r="6" spans="1:30" ht="45" x14ac:dyDescent="0.25">
      <c r="A6" s="15" t="s">
        <v>18</v>
      </c>
      <c r="B6" s="16" t="s">
        <v>17</v>
      </c>
      <c r="C6" s="16" t="s">
        <v>17</v>
      </c>
      <c r="D6" s="17"/>
      <c r="E6" s="42" t="s">
        <v>121</v>
      </c>
      <c r="F6" s="42" t="s">
        <v>121</v>
      </c>
      <c r="G6" s="42" t="s">
        <v>121</v>
      </c>
      <c r="H6" s="42" t="s">
        <v>121</v>
      </c>
      <c r="I6" s="42" t="s">
        <v>121</v>
      </c>
      <c r="J6" s="42" t="s">
        <v>121</v>
      </c>
      <c r="K6" s="42" t="s">
        <v>121</v>
      </c>
      <c r="L6" s="42" t="s">
        <v>121</v>
      </c>
      <c r="M6" s="42" t="s">
        <v>121</v>
      </c>
      <c r="W6">
        <v>85</v>
      </c>
      <c r="X6" s="3">
        <v>158</v>
      </c>
      <c r="AA6" s="1">
        <v>8</v>
      </c>
      <c r="AB6">
        <v>0.183</v>
      </c>
      <c r="AC6" s="1">
        <v>80</v>
      </c>
      <c r="AD6">
        <v>0.17399999999999999</v>
      </c>
    </row>
    <row r="7" spans="1:30" x14ac:dyDescent="0.25">
      <c r="A7" s="15" t="s">
        <v>19</v>
      </c>
      <c r="B7" s="16" t="s">
        <v>20</v>
      </c>
      <c r="C7" s="16" t="s">
        <v>21</v>
      </c>
      <c r="D7" s="17"/>
      <c r="E7" s="19">
        <v>115000</v>
      </c>
      <c r="F7" s="19">
        <v>115000</v>
      </c>
      <c r="G7" s="19">
        <v>115000</v>
      </c>
      <c r="H7" s="19">
        <v>115000</v>
      </c>
      <c r="I7" s="19">
        <v>115000</v>
      </c>
      <c r="J7" s="19">
        <v>115000</v>
      </c>
      <c r="K7" s="19">
        <v>115000</v>
      </c>
      <c r="L7" s="19">
        <v>115000</v>
      </c>
      <c r="M7" s="19">
        <v>115000</v>
      </c>
      <c r="W7">
        <v>100</v>
      </c>
      <c r="X7" s="3">
        <v>162</v>
      </c>
      <c r="AA7" s="1">
        <v>10</v>
      </c>
      <c r="AB7">
        <v>0.13100000000000001</v>
      </c>
      <c r="AC7" s="1">
        <v>100</v>
      </c>
      <c r="AD7">
        <v>0.17399999999999999</v>
      </c>
    </row>
    <row r="8" spans="1:30" x14ac:dyDescent="0.25">
      <c r="A8" s="15" t="s">
        <v>22</v>
      </c>
      <c r="B8" s="16" t="s">
        <v>23</v>
      </c>
      <c r="C8" s="16" t="s">
        <v>24</v>
      </c>
      <c r="D8" s="17"/>
      <c r="E8" s="19">
        <v>45000000</v>
      </c>
      <c r="F8" s="19">
        <v>45000000</v>
      </c>
      <c r="G8" s="19">
        <v>45000000</v>
      </c>
      <c r="H8" s="19">
        <v>45000000</v>
      </c>
      <c r="I8" s="19">
        <v>45000000</v>
      </c>
      <c r="J8" s="19">
        <v>45000000</v>
      </c>
      <c r="K8" s="19">
        <v>45000000</v>
      </c>
      <c r="L8" s="19">
        <v>45000000</v>
      </c>
      <c r="M8" s="19">
        <v>45000000</v>
      </c>
      <c r="AA8" s="1">
        <v>12</v>
      </c>
      <c r="AB8">
        <v>7.9600000000000004E-2</v>
      </c>
      <c r="AC8" s="1">
        <v>120</v>
      </c>
      <c r="AD8">
        <v>0.153</v>
      </c>
    </row>
    <row r="9" spans="1:30" x14ac:dyDescent="0.25">
      <c r="A9" s="15" t="s">
        <v>25</v>
      </c>
      <c r="B9" s="16" t="s">
        <v>26</v>
      </c>
      <c r="C9" s="16" t="s">
        <v>23</v>
      </c>
      <c r="D9" s="17"/>
      <c r="E9" s="19">
        <v>220</v>
      </c>
      <c r="F9" s="19">
        <v>220</v>
      </c>
      <c r="G9" s="19">
        <v>220</v>
      </c>
      <c r="H9" s="19">
        <v>220</v>
      </c>
      <c r="I9" s="19">
        <v>220</v>
      </c>
      <c r="J9" s="19">
        <v>220</v>
      </c>
      <c r="K9" s="19">
        <v>220</v>
      </c>
      <c r="L9" s="19">
        <v>220</v>
      </c>
      <c r="M9" s="19">
        <v>220</v>
      </c>
      <c r="AA9" s="1">
        <v>14</v>
      </c>
      <c r="AB9">
        <v>4.1700000000000001E-2</v>
      </c>
      <c r="AC9" s="1">
        <v>140</v>
      </c>
      <c r="AD9">
        <v>0.113</v>
      </c>
    </row>
    <row r="10" spans="1:30" x14ac:dyDescent="0.25">
      <c r="A10" s="15" t="s">
        <v>27</v>
      </c>
      <c r="B10" s="16" t="s">
        <v>28</v>
      </c>
      <c r="C10" s="16" t="s">
        <v>23</v>
      </c>
      <c r="D10" s="17"/>
      <c r="E10" s="19">
        <v>40</v>
      </c>
      <c r="F10" s="19">
        <v>40</v>
      </c>
      <c r="G10" s="19">
        <v>40</v>
      </c>
      <c r="H10" s="19">
        <v>40</v>
      </c>
      <c r="I10" s="19">
        <v>40</v>
      </c>
      <c r="J10" s="19">
        <v>40</v>
      </c>
      <c r="K10" s="19">
        <v>40</v>
      </c>
      <c r="L10" s="19">
        <v>40</v>
      </c>
      <c r="M10" s="19">
        <v>40</v>
      </c>
      <c r="AA10" s="1">
        <v>16</v>
      </c>
      <c r="AB10">
        <v>1.8800000000000001E-2</v>
      </c>
      <c r="AC10" s="1">
        <v>160</v>
      </c>
      <c r="AD10">
        <v>0.06</v>
      </c>
    </row>
    <row r="11" spans="1:30" x14ac:dyDescent="0.25">
      <c r="A11" s="15" t="s">
        <v>29</v>
      </c>
      <c r="B11" s="16" t="s">
        <v>30</v>
      </c>
      <c r="C11" s="16" t="s">
        <v>23</v>
      </c>
      <c r="D11" s="17"/>
      <c r="E11" s="19">
        <v>14.5</v>
      </c>
      <c r="F11" s="19">
        <v>14.5</v>
      </c>
      <c r="G11" s="19">
        <v>14.5</v>
      </c>
      <c r="H11" s="19">
        <v>14.5</v>
      </c>
      <c r="I11" s="19">
        <v>14.5</v>
      </c>
      <c r="J11" s="19">
        <v>14.5</v>
      </c>
      <c r="K11" s="19">
        <v>14.5</v>
      </c>
      <c r="L11" s="19">
        <v>14.5</v>
      </c>
      <c r="M11" s="19">
        <v>14.5</v>
      </c>
      <c r="AA11" s="1">
        <v>18</v>
      </c>
      <c r="AB11">
        <v>7.4000000000000003E-3</v>
      </c>
      <c r="AC11" s="1">
        <v>180</v>
      </c>
      <c r="AD11">
        <v>0</v>
      </c>
    </row>
    <row r="12" spans="1:30" x14ac:dyDescent="0.25">
      <c r="A12" s="15" t="s">
        <v>31</v>
      </c>
      <c r="B12" s="16" t="s">
        <v>32</v>
      </c>
      <c r="C12" s="16" t="s">
        <v>33</v>
      </c>
      <c r="D12" s="17"/>
      <c r="E12" s="19">
        <v>7.2</v>
      </c>
      <c r="F12" s="19">
        <v>7.2</v>
      </c>
      <c r="G12" s="19">
        <v>7.2</v>
      </c>
      <c r="H12" s="19">
        <v>7.2</v>
      </c>
      <c r="I12" s="19">
        <v>7.2</v>
      </c>
      <c r="J12" s="19">
        <v>7.2</v>
      </c>
      <c r="K12" s="19">
        <v>7.2</v>
      </c>
      <c r="L12" s="19">
        <v>7.2</v>
      </c>
      <c r="M12" s="19">
        <v>7.2</v>
      </c>
      <c r="AA12" s="1">
        <v>20</v>
      </c>
      <c r="AB12">
        <v>2.5000000000000001E-3</v>
      </c>
    </row>
    <row r="13" spans="1:30" x14ac:dyDescent="0.25">
      <c r="A13" s="15" t="s">
        <v>34</v>
      </c>
      <c r="B13" s="16" t="s">
        <v>35</v>
      </c>
      <c r="C13" s="16" t="s">
        <v>36</v>
      </c>
      <c r="D13" s="17"/>
      <c r="E13" s="19">
        <v>0.5</v>
      </c>
      <c r="F13" s="19">
        <v>0.5</v>
      </c>
      <c r="G13" s="19">
        <v>0.5</v>
      </c>
      <c r="H13" s="19">
        <v>0.5</v>
      </c>
      <c r="I13" s="19">
        <v>0.5</v>
      </c>
      <c r="J13" s="19">
        <v>0.5</v>
      </c>
      <c r="K13" s="19">
        <v>0.5</v>
      </c>
      <c r="L13" s="19">
        <v>0.5</v>
      </c>
      <c r="M13" s="19">
        <v>0.5</v>
      </c>
      <c r="AA13" s="1">
        <v>22</v>
      </c>
      <c r="AB13">
        <v>8.0000000000000004E-4</v>
      </c>
    </row>
    <row r="14" spans="1:30" x14ac:dyDescent="0.25">
      <c r="A14" s="15" t="s">
        <v>37</v>
      </c>
      <c r="B14" s="16" t="s">
        <v>38</v>
      </c>
      <c r="C14" s="16" t="s">
        <v>39</v>
      </c>
      <c r="D14" s="17"/>
      <c r="E14" s="19">
        <v>12000000</v>
      </c>
      <c r="F14" s="19">
        <v>12000000</v>
      </c>
      <c r="G14" s="19">
        <v>12000000</v>
      </c>
      <c r="H14" s="19">
        <v>12000000</v>
      </c>
      <c r="I14" s="19">
        <v>12000000</v>
      </c>
      <c r="J14" s="19">
        <v>12000000</v>
      </c>
      <c r="K14" s="19">
        <v>12000000</v>
      </c>
      <c r="L14" s="19">
        <v>12000000</v>
      </c>
      <c r="M14" s="19">
        <v>12000000</v>
      </c>
      <c r="AA14" s="1">
        <v>24</v>
      </c>
      <c r="AB14">
        <v>2.9999999999999997E-4</v>
      </c>
    </row>
    <row r="15" spans="1:30" x14ac:dyDescent="0.25">
      <c r="A15" s="15" t="s">
        <v>40</v>
      </c>
      <c r="B15" s="16" t="s">
        <v>41</v>
      </c>
      <c r="C15" s="16" t="s">
        <v>42</v>
      </c>
      <c r="D15" s="17"/>
      <c r="E15" s="19">
        <v>70</v>
      </c>
      <c r="F15" s="19">
        <v>70</v>
      </c>
      <c r="G15" s="19">
        <v>70</v>
      </c>
      <c r="H15" s="19">
        <v>70</v>
      </c>
      <c r="I15" s="19">
        <v>70</v>
      </c>
      <c r="J15" s="19">
        <v>70</v>
      </c>
      <c r="K15" s="19">
        <v>70</v>
      </c>
      <c r="L15" s="19">
        <v>70</v>
      </c>
      <c r="M15" s="19">
        <v>70</v>
      </c>
    </row>
    <row r="16" spans="1:30" x14ac:dyDescent="0.25">
      <c r="A16" s="15" t="s">
        <v>43</v>
      </c>
      <c r="B16" s="16" t="s">
        <v>44</v>
      </c>
      <c r="C16" s="16" t="s">
        <v>45</v>
      </c>
      <c r="D16" s="17"/>
      <c r="E16" s="19">
        <f>365*3/4*24</f>
        <v>6570</v>
      </c>
      <c r="F16" s="19">
        <f t="shared" ref="F16:M16" si="0">365*3/4*24</f>
        <v>6570</v>
      </c>
      <c r="G16" s="19">
        <f t="shared" si="0"/>
        <v>6570</v>
      </c>
      <c r="H16" s="19">
        <f t="shared" si="0"/>
        <v>6570</v>
      </c>
      <c r="I16" s="19">
        <f t="shared" si="0"/>
        <v>6570</v>
      </c>
      <c r="J16" s="19">
        <f t="shared" si="0"/>
        <v>6570</v>
      </c>
      <c r="K16" s="19">
        <f t="shared" si="0"/>
        <v>6570</v>
      </c>
      <c r="L16" s="19">
        <f t="shared" si="0"/>
        <v>6570</v>
      </c>
      <c r="M16" s="19">
        <f t="shared" si="0"/>
        <v>6570</v>
      </c>
    </row>
    <row r="17" spans="1:13" ht="15.75" thickBot="1" x14ac:dyDescent="0.3">
      <c r="A17" s="20" t="s">
        <v>46</v>
      </c>
      <c r="B17" s="21" t="s">
        <v>47</v>
      </c>
      <c r="C17" s="21" t="s">
        <v>48</v>
      </c>
      <c r="D17" s="23"/>
      <c r="E17" s="22">
        <v>0.8</v>
      </c>
      <c r="F17" s="22">
        <v>0.8</v>
      </c>
      <c r="G17" s="22">
        <v>0.8</v>
      </c>
      <c r="H17" s="22">
        <v>0.8</v>
      </c>
      <c r="I17" s="22">
        <v>0.8</v>
      </c>
      <c r="J17" s="22">
        <v>0.8</v>
      </c>
      <c r="K17" s="22">
        <v>0.8</v>
      </c>
      <c r="L17" s="22">
        <v>0.8</v>
      </c>
      <c r="M17" s="22">
        <v>0.8</v>
      </c>
    </row>
    <row r="18" spans="1:13" ht="15.75" thickBot="1" x14ac:dyDescent="0.3">
      <c r="A18" s="6"/>
      <c r="B18" s="5"/>
      <c r="C18" s="5"/>
    </row>
    <row r="19" spans="1:13" x14ac:dyDescent="0.25">
      <c r="A19" s="9" t="s">
        <v>68</v>
      </c>
      <c r="B19" s="10"/>
      <c r="C19" s="10"/>
      <c r="D19" s="10"/>
      <c r="E19" s="13" t="s">
        <v>8</v>
      </c>
      <c r="F19" s="13" t="s">
        <v>9</v>
      </c>
      <c r="G19" s="13" t="s">
        <v>10</v>
      </c>
      <c r="H19" s="13" t="s">
        <v>11</v>
      </c>
      <c r="I19" s="13" t="s">
        <v>12</v>
      </c>
      <c r="J19" s="13" t="s">
        <v>13</v>
      </c>
      <c r="K19" s="13" t="s">
        <v>146</v>
      </c>
      <c r="L19" s="14" t="s">
        <v>147</v>
      </c>
      <c r="M19" s="14" t="s">
        <v>148</v>
      </c>
    </row>
    <row r="20" spans="1:13" x14ac:dyDescent="0.25">
      <c r="A20" s="15" t="s">
        <v>56</v>
      </c>
      <c r="B20" s="17"/>
      <c r="C20" s="17"/>
      <c r="D20" s="44" t="s">
        <v>124</v>
      </c>
      <c r="E20" s="25" t="s">
        <v>77</v>
      </c>
      <c r="F20" s="25" t="s">
        <v>65</v>
      </c>
      <c r="G20" s="25" t="s">
        <v>65</v>
      </c>
      <c r="H20" s="25" t="s">
        <v>65</v>
      </c>
      <c r="I20" s="25" t="s">
        <v>65</v>
      </c>
      <c r="J20" s="25" t="s">
        <v>66</v>
      </c>
      <c r="K20" s="25" t="s">
        <v>66</v>
      </c>
      <c r="L20" s="25" t="s">
        <v>67</v>
      </c>
      <c r="M20" s="25" t="s">
        <v>67</v>
      </c>
    </row>
    <row r="21" spans="1:13" x14ac:dyDescent="0.25">
      <c r="A21" s="15" t="s">
        <v>57</v>
      </c>
      <c r="B21" s="17" t="s">
        <v>69</v>
      </c>
      <c r="C21" s="17" t="s">
        <v>72</v>
      </c>
      <c r="D21" s="17"/>
      <c r="E21" s="17" t="s">
        <v>72</v>
      </c>
      <c r="F21" s="19">
        <v>4</v>
      </c>
      <c r="G21" s="19">
        <v>4</v>
      </c>
      <c r="H21" s="25">
        <v>6</v>
      </c>
      <c r="I21" s="25">
        <v>6</v>
      </c>
      <c r="J21" s="19">
        <v>2</v>
      </c>
      <c r="K21" s="19">
        <v>4</v>
      </c>
      <c r="L21" s="19">
        <v>4</v>
      </c>
      <c r="M21" s="49">
        <v>6</v>
      </c>
    </row>
    <row r="22" spans="1:13" ht="30" x14ac:dyDescent="0.25">
      <c r="A22" s="15" t="s">
        <v>154</v>
      </c>
      <c r="B22" s="17" t="s">
        <v>70</v>
      </c>
      <c r="C22" s="17" t="s">
        <v>71</v>
      </c>
      <c r="D22" s="17"/>
      <c r="E22" s="17" t="s">
        <v>72</v>
      </c>
      <c r="F22" s="19">
        <v>120</v>
      </c>
      <c r="G22" s="19">
        <v>180</v>
      </c>
      <c r="H22" s="25">
        <v>120</v>
      </c>
      <c r="I22" s="25">
        <v>180</v>
      </c>
      <c r="J22" s="17" t="s">
        <v>72</v>
      </c>
      <c r="K22" s="17" t="s">
        <v>72</v>
      </c>
      <c r="L22" s="19">
        <v>150</v>
      </c>
      <c r="M22" s="49">
        <v>150</v>
      </c>
    </row>
    <row r="23" spans="1:13" ht="30" x14ac:dyDescent="0.25">
      <c r="A23" s="15" t="s">
        <v>155</v>
      </c>
      <c r="B23" s="17" t="s">
        <v>74</v>
      </c>
      <c r="C23" s="17" t="s">
        <v>73</v>
      </c>
      <c r="D23" s="17" t="s">
        <v>74</v>
      </c>
      <c r="E23" s="17" t="s">
        <v>72</v>
      </c>
      <c r="F23" s="16">
        <f>F21*F22</f>
        <v>480</v>
      </c>
      <c r="G23" s="16">
        <f>G21*G22</f>
        <v>720</v>
      </c>
      <c r="H23" s="16">
        <f>H21*H22</f>
        <v>720</v>
      </c>
      <c r="I23" s="16">
        <f>I21*I22</f>
        <v>1080</v>
      </c>
      <c r="J23" s="17" t="s">
        <v>72</v>
      </c>
      <c r="K23" s="17" t="s">
        <v>72</v>
      </c>
      <c r="L23" s="17">
        <f>L21*L22</f>
        <v>600</v>
      </c>
      <c r="M23" s="17">
        <f>M21*M22</f>
        <v>900</v>
      </c>
    </row>
    <row r="24" spans="1:13" ht="30" x14ac:dyDescent="0.25">
      <c r="A24" s="15" t="s">
        <v>58</v>
      </c>
      <c r="B24" s="17" t="s">
        <v>75</v>
      </c>
      <c r="C24" s="17" t="s">
        <v>23</v>
      </c>
      <c r="D24" s="17"/>
      <c r="E24" s="17" t="s">
        <v>72</v>
      </c>
      <c r="F24" s="43" t="s">
        <v>122</v>
      </c>
      <c r="G24" s="43" t="s">
        <v>122</v>
      </c>
      <c r="H24" s="25" t="s">
        <v>59</v>
      </c>
      <c r="I24" s="25" t="s">
        <v>59</v>
      </c>
      <c r="J24" s="43" t="s">
        <v>160</v>
      </c>
      <c r="K24" s="43" t="s">
        <v>122</v>
      </c>
      <c r="L24" s="43" t="s">
        <v>122</v>
      </c>
      <c r="M24" s="25" t="s">
        <v>59</v>
      </c>
    </row>
    <row r="25" spans="1:13" ht="30" x14ac:dyDescent="0.25">
      <c r="A25" s="15" t="s">
        <v>60</v>
      </c>
      <c r="B25" s="17" t="s">
        <v>76</v>
      </c>
      <c r="C25" s="17" t="s">
        <v>23</v>
      </c>
      <c r="D25" s="17"/>
      <c r="E25" s="17" t="s">
        <v>72</v>
      </c>
      <c r="F25" s="25" t="s">
        <v>61</v>
      </c>
      <c r="G25" s="25" t="s">
        <v>61</v>
      </c>
      <c r="H25" s="25" t="s">
        <v>61</v>
      </c>
      <c r="I25" s="25" t="s">
        <v>61</v>
      </c>
      <c r="J25" s="25" t="s">
        <v>61</v>
      </c>
      <c r="K25" s="25" t="s">
        <v>61</v>
      </c>
      <c r="L25" s="25" t="s">
        <v>61</v>
      </c>
      <c r="M25" s="25" t="s">
        <v>61</v>
      </c>
    </row>
    <row r="26" spans="1:13" ht="30" x14ac:dyDescent="0.25">
      <c r="A26" s="15" t="s">
        <v>62</v>
      </c>
      <c r="B26" s="17"/>
      <c r="C26" s="17"/>
      <c r="D26" s="17"/>
      <c r="E26" s="17" t="s">
        <v>72</v>
      </c>
      <c r="F26" s="16" t="s">
        <v>63</v>
      </c>
      <c r="G26" s="16" t="s">
        <v>63</v>
      </c>
      <c r="H26" s="16" t="s">
        <v>63</v>
      </c>
      <c r="I26" s="16" t="s">
        <v>63</v>
      </c>
      <c r="J26" s="16" t="s">
        <v>63</v>
      </c>
      <c r="K26" s="16" t="s">
        <v>63</v>
      </c>
      <c r="L26" s="16" t="s">
        <v>63</v>
      </c>
      <c r="M26" s="16" t="s">
        <v>63</v>
      </c>
    </row>
    <row r="27" spans="1:13" x14ac:dyDescent="0.25">
      <c r="A27" s="15" t="s">
        <v>149</v>
      </c>
      <c r="B27" s="16" t="s">
        <v>78</v>
      </c>
      <c r="C27" s="17" t="s">
        <v>23</v>
      </c>
      <c r="D27" s="17"/>
      <c r="E27" s="17" t="s">
        <v>72</v>
      </c>
      <c r="F27" s="16" t="s">
        <v>72</v>
      </c>
      <c r="G27" s="16" t="s">
        <v>72</v>
      </c>
      <c r="H27" s="16" t="s">
        <v>72</v>
      </c>
      <c r="I27" s="16" t="s">
        <v>72</v>
      </c>
      <c r="J27" s="19">
        <v>2</v>
      </c>
      <c r="K27" s="19">
        <v>2</v>
      </c>
      <c r="L27" s="16" t="s">
        <v>72</v>
      </c>
      <c r="M27" s="16" t="s">
        <v>72</v>
      </c>
    </row>
    <row r="28" spans="1:13" x14ac:dyDescent="0.25">
      <c r="A28" s="15" t="s">
        <v>150</v>
      </c>
      <c r="B28" s="16" t="s">
        <v>152</v>
      </c>
      <c r="C28" s="47" t="s">
        <v>23</v>
      </c>
      <c r="D28" s="17"/>
      <c r="E28" s="17" t="s">
        <v>72</v>
      </c>
      <c r="F28" s="16" t="s">
        <v>72</v>
      </c>
      <c r="G28" s="16" t="s">
        <v>72</v>
      </c>
      <c r="H28" s="16" t="s">
        <v>72</v>
      </c>
      <c r="I28" s="16" t="s">
        <v>72</v>
      </c>
      <c r="J28" s="19">
        <v>28</v>
      </c>
      <c r="K28" s="19">
        <v>28</v>
      </c>
      <c r="L28" s="16" t="s">
        <v>72</v>
      </c>
      <c r="M28" s="16" t="s">
        <v>72</v>
      </c>
    </row>
    <row r="29" spans="1:13" x14ac:dyDescent="0.25">
      <c r="A29" s="15" t="s">
        <v>151</v>
      </c>
      <c r="B29" s="16" t="s">
        <v>153</v>
      </c>
      <c r="C29" s="47" t="s">
        <v>72</v>
      </c>
      <c r="D29" s="17"/>
      <c r="E29" s="17" t="s">
        <v>72</v>
      </c>
      <c r="F29" s="16" t="s">
        <v>72</v>
      </c>
      <c r="G29" s="16" t="s">
        <v>72</v>
      </c>
      <c r="H29" s="16" t="s">
        <v>72</v>
      </c>
      <c r="I29" s="16" t="s">
        <v>72</v>
      </c>
      <c r="J29" s="19">
        <v>2</v>
      </c>
      <c r="K29" s="19">
        <v>2</v>
      </c>
      <c r="L29" s="16" t="s">
        <v>72</v>
      </c>
      <c r="M29" s="16" t="s">
        <v>72</v>
      </c>
    </row>
    <row r="30" spans="1:13" x14ac:dyDescent="0.25">
      <c r="A30" s="15" t="s">
        <v>156</v>
      </c>
      <c r="B30" s="16" t="s">
        <v>157</v>
      </c>
      <c r="C30" s="17"/>
      <c r="D30" s="17"/>
      <c r="E30" s="17" t="s">
        <v>72</v>
      </c>
      <c r="F30" s="16" t="s">
        <v>72</v>
      </c>
      <c r="G30" s="16" t="s">
        <v>72</v>
      </c>
      <c r="H30" s="16" t="s">
        <v>72</v>
      </c>
      <c r="I30" s="16" t="s">
        <v>72</v>
      </c>
      <c r="J30" s="16" t="s">
        <v>72</v>
      </c>
      <c r="K30" s="16" t="s">
        <v>72</v>
      </c>
      <c r="L30" s="19">
        <v>12</v>
      </c>
      <c r="M30" s="49">
        <v>12</v>
      </c>
    </row>
    <row r="31" spans="1:13" ht="15.75" thickBot="1" x14ac:dyDescent="0.3">
      <c r="A31" s="20" t="s">
        <v>159</v>
      </c>
      <c r="B31" s="21" t="s">
        <v>158</v>
      </c>
      <c r="C31" s="23"/>
      <c r="D31" s="23"/>
      <c r="E31" s="17" t="s">
        <v>72</v>
      </c>
      <c r="F31" s="16" t="s">
        <v>72</v>
      </c>
      <c r="G31" s="16" t="s">
        <v>72</v>
      </c>
      <c r="H31" s="16" t="s">
        <v>72</v>
      </c>
      <c r="I31" s="16" t="s">
        <v>72</v>
      </c>
      <c r="J31" s="16" t="s">
        <v>72</v>
      </c>
      <c r="K31" s="16" t="s">
        <v>72</v>
      </c>
      <c r="L31" s="22">
        <v>0.15</v>
      </c>
      <c r="M31" s="50">
        <v>0.15</v>
      </c>
    </row>
    <row r="32" spans="1:13" ht="15.75" thickBot="1" x14ac:dyDescent="0.3"/>
    <row r="33" spans="1:13" ht="30" x14ac:dyDescent="0.25">
      <c r="A33" s="40" t="s">
        <v>120</v>
      </c>
      <c r="B33" s="10"/>
      <c r="C33" s="10"/>
      <c r="D33" s="45" t="s">
        <v>124</v>
      </c>
      <c r="E33" s="10"/>
      <c r="F33" s="10"/>
      <c r="G33" s="10"/>
      <c r="H33" s="10"/>
      <c r="I33" s="10"/>
      <c r="J33" s="10"/>
      <c r="K33" s="10"/>
      <c r="L33" s="10"/>
      <c r="M33" s="11"/>
    </row>
    <row r="34" spans="1:13" ht="52.5" customHeight="1" thickBot="1" x14ac:dyDescent="0.3">
      <c r="A34" s="31" t="s">
        <v>54</v>
      </c>
      <c r="B34" s="23" t="s">
        <v>52</v>
      </c>
      <c r="C34" s="23" t="s">
        <v>53</v>
      </c>
      <c r="D34" s="46"/>
      <c r="E34" s="41">
        <f>E13*1000000/(7.2*7.2)</f>
        <v>9645.0617283950614</v>
      </c>
      <c r="F34" s="41">
        <f>F13*1000000/(7.2*7.2)</f>
        <v>9645.0617283950614</v>
      </c>
      <c r="G34" s="41">
        <f>G13*1000000/(7.2*7.2)</f>
        <v>9645.0617283950614</v>
      </c>
      <c r="H34" s="41">
        <f t="shared" ref="H34:M34" si="1">H13*1000000/(7.2*7.2)</f>
        <v>9645.0617283950614</v>
      </c>
      <c r="I34" s="41">
        <f t="shared" si="1"/>
        <v>9645.0617283950614</v>
      </c>
      <c r="J34" s="41">
        <f t="shared" si="1"/>
        <v>9645.0617283950614</v>
      </c>
      <c r="K34" s="41">
        <f t="shared" si="1"/>
        <v>9645.0617283950614</v>
      </c>
      <c r="L34" s="41">
        <f t="shared" si="1"/>
        <v>9645.0617283950614</v>
      </c>
      <c r="M34" s="57">
        <f t="shared" si="1"/>
        <v>9645.0617283950614</v>
      </c>
    </row>
    <row r="35" spans="1:13" x14ac:dyDescent="0.25">
      <c r="A35" s="17"/>
      <c r="B35" s="17"/>
      <c r="C35" s="17"/>
      <c r="E35" s="17"/>
      <c r="F35" s="17"/>
      <c r="G35" s="17"/>
      <c r="H35" s="17"/>
      <c r="I35" s="17"/>
      <c r="J35" s="17"/>
    </row>
    <row r="36" spans="1:13" ht="15.75" thickBot="1" x14ac:dyDescent="0.3">
      <c r="F36" s="17"/>
      <c r="G36" s="17"/>
      <c r="H36" s="17"/>
      <c r="I36" s="17"/>
      <c r="J36" s="17"/>
    </row>
    <row r="37" spans="1:13" ht="74.25" customHeight="1" x14ac:dyDescent="0.25">
      <c r="A37" s="62" t="s">
        <v>114</v>
      </c>
      <c r="B37" s="63"/>
      <c r="C37" s="63"/>
      <c r="D37" s="10"/>
      <c r="E37" s="10"/>
      <c r="F37" s="10"/>
      <c r="G37" s="10"/>
      <c r="H37" s="10"/>
      <c r="I37" s="10"/>
      <c r="J37" s="10"/>
      <c r="K37" s="10"/>
      <c r="L37" s="10"/>
      <c r="M37" s="11"/>
    </row>
    <row r="38" spans="1:13" x14ac:dyDescent="0.25">
      <c r="A38" s="32" t="s">
        <v>115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8"/>
    </row>
    <row r="39" spans="1:13" ht="45" x14ac:dyDescent="0.25">
      <c r="A39" s="30" t="s">
        <v>113</v>
      </c>
      <c r="B39" s="17" t="s">
        <v>81</v>
      </c>
      <c r="C39" s="17" t="s">
        <v>80</v>
      </c>
      <c r="D39" s="17"/>
      <c r="E39" s="17">
        <f>L214</f>
        <v>891039.32568907866</v>
      </c>
      <c r="F39" s="17">
        <f>S214</f>
        <v>875012.64220059616</v>
      </c>
      <c r="G39" s="17">
        <f>Z214</f>
        <v>866780.03560321801</v>
      </c>
      <c r="H39" s="54">
        <f>AG214</f>
        <v>866771.38341261249</v>
      </c>
      <c r="I39" s="54">
        <f>AN214</f>
        <v>854137.40057672444</v>
      </c>
      <c r="J39" s="54">
        <f>AU214</f>
        <v>743403.98026832833</v>
      </c>
      <c r="K39" s="54">
        <f>BB214</f>
        <v>593000.47157066583</v>
      </c>
      <c r="L39" s="54">
        <f>BI214</f>
        <v>785037.76527627534</v>
      </c>
      <c r="M39" s="55">
        <f>BP214</f>
        <v>729820.84715466877</v>
      </c>
    </row>
    <row r="40" spans="1:13" x14ac:dyDescent="0.25">
      <c r="A40" s="12" t="s">
        <v>82</v>
      </c>
      <c r="B40" s="17" t="s">
        <v>83</v>
      </c>
      <c r="C40" s="17" t="s">
        <v>24</v>
      </c>
      <c r="D40" s="17" t="s">
        <v>125</v>
      </c>
      <c r="E40" s="17">
        <f>E16*E39/1000</f>
        <v>5854128.3697772464</v>
      </c>
      <c r="F40" s="17">
        <f>F16*F39/1000</f>
        <v>5748833.0592579162</v>
      </c>
      <c r="G40" s="17">
        <f>G16*G39/1000</f>
        <v>5694744.8339131419</v>
      </c>
      <c r="H40" s="17">
        <f t="shared" ref="H40:J40" si="2">H16*H39/1000</f>
        <v>5694687.9890208645</v>
      </c>
      <c r="I40" s="17">
        <f t="shared" si="2"/>
        <v>5611682.7217890797</v>
      </c>
      <c r="J40" s="17">
        <f t="shared" si="2"/>
        <v>4884164.1503629172</v>
      </c>
      <c r="K40" s="17">
        <f t="shared" ref="K40" si="3">K16*K39/1000</f>
        <v>3896013.0982192745</v>
      </c>
      <c r="L40" s="17">
        <f t="shared" ref="L40" si="4">L16*L39/1000</f>
        <v>5157698.1178651294</v>
      </c>
      <c r="M40" s="18">
        <f t="shared" ref="M40" si="5">M16*M39/1000</f>
        <v>4794922.9658061732</v>
      </c>
    </row>
    <row r="41" spans="1:13" ht="15.75" thickBot="1" x14ac:dyDescent="0.3">
      <c r="A41" s="31" t="s">
        <v>94</v>
      </c>
      <c r="B41" s="23" t="s">
        <v>95</v>
      </c>
      <c r="C41" s="23" t="s">
        <v>79</v>
      </c>
      <c r="D41" s="23" t="s">
        <v>126</v>
      </c>
      <c r="E41" s="35">
        <f>E40*E17</f>
        <v>4683302.6958217975</v>
      </c>
      <c r="F41" s="35">
        <f>F40*F17</f>
        <v>4599066.4474063329</v>
      </c>
      <c r="G41" s="35">
        <f>G40*G17</f>
        <v>4555795.8671305133</v>
      </c>
      <c r="H41" s="35">
        <f t="shared" ref="H41:J41" si="6">H40*H17</f>
        <v>4555750.3912166916</v>
      </c>
      <c r="I41" s="35">
        <f t="shared" si="6"/>
        <v>4489346.177431264</v>
      </c>
      <c r="J41" s="35">
        <f t="shared" si="6"/>
        <v>3907331.3202903341</v>
      </c>
      <c r="K41" s="35">
        <f t="shared" ref="K41" si="7">K40*K17</f>
        <v>3116810.4785754196</v>
      </c>
      <c r="L41" s="35">
        <f t="shared" ref="L41" si="8">L40*L17</f>
        <v>4126158.4942921037</v>
      </c>
      <c r="M41" s="56">
        <f t="shared" ref="M41" si="9">M40*M17</f>
        <v>3835938.3726449385</v>
      </c>
    </row>
    <row r="42" spans="1:13" ht="15.75" thickBot="1" x14ac:dyDescent="0.3"/>
    <row r="43" spans="1:13" x14ac:dyDescent="0.25">
      <c r="A43" s="9" t="s">
        <v>116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1"/>
    </row>
    <row r="44" spans="1:13" ht="30" x14ac:dyDescent="0.25">
      <c r="A44" s="30" t="s">
        <v>84</v>
      </c>
      <c r="B44" s="17" t="s">
        <v>85</v>
      </c>
      <c r="C44" s="17" t="s">
        <v>79</v>
      </c>
      <c r="D44" s="17"/>
      <c r="E44" s="19">
        <v>0</v>
      </c>
      <c r="F44" s="19">
        <v>1200000</v>
      </c>
      <c r="G44" s="19">
        <v>1600000</v>
      </c>
      <c r="H44" s="19">
        <v>1800000</v>
      </c>
      <c r="I44" s="19">
        <v>2400000</v>
      </c>
      <c r="J44" s="19">
        <v>1400000</v>
      </c>
      <c r="K44" s="19">
        <v>2800000</v>
      </c>
      <c r="L44" s="19">
        <v>1600000</v>
      </c>
      <c r="M44" s="18">
        <v>2000000</v>
      </c>
    </row>
    <row r="45" spans="1:13" x14ac:dyDescent="0.25">
      <c r="A45" s="12" t="s">
        <v>86</v>
      </c>
      <c r="B45" s="17" t="s">
        <v>87</v>
      </c>
      <c r="C45" s="17" t="s">
        <v>79</v>
      </c>
      <c r="D45" s="17" t="s">
        <v>127</v>
      </c>
      <c r="E45" s="17">
        <f>0.25*E44</f>
        <v>0</v>
      </c>
      <c r="F45" s="17">
        <f>0.25*F44</f>
        <v>300000</v>
      </c>
      <c r="G45" s="17">
        <f>0.25*G44</f>
        <v>400000</v>
      </c>
      <c r="H45" s="17">
        <f t="shared" ref="H45:M45" si="10">0.25*H44</f>
        <v>450000</v>
      </c>
      <c r="I45" s="17">
        <f t="shared" si="10"/>
        <v>600000</v>
      </c>
      <c r="J45" s="17">
        <f t="shared" si="10"/>
        <v>350000</v>
      </c>
      <c r="K45" s="17">
        <f t="shared" si="10"/>
        <v>700000</v>
      </c>
      <c r="L45" s="17">
        <f t="shared" si="10"/>
        <v>400000</v>
      </c>
      <c r="M45" s="17">
        <f t="shared" si="10"/>
        <v>500000</v>
      </c>
    </row>
    <row r="46" spans="1:13" ht="15.75" thickBot="1" x14ac:dyDescent="0.3">
      <c r="A46" s="31" t="s">
        <v>3</v>
      </c>
      <c r="B46" s="23" t="s">
        <v>88</v>
      </c>
      <c r="C46" s="23" t="s">
        <v>79</v>
      </c>
      <c r="D46" s="23" t="s">
        <v>128</v>
      </c>
      <c r="E46" s="35">
        <f>E44+E45</f>
        <v>0</v>
      </c>
      <c r="F46" s="35">
        <f>F44+F45</f>
        <v>1500000</v>
      </c>
      <c r="G46" s="35">
        <f>G44+G45</f>
        <v>2000000</v>
      </c>
      <c r="H46" s="35">
        <f t="shared" ref="H46:M46" si="11">H44+H45</f>
        <v>2250000</v>
      </c>
      <c r="I46" s="35">
        <f t="shared" si="11"/>
        <v>3000000</v>
      </c>
      <c r="J46" s="35">
        <f t="shared" si="11"/>
        <v>1750000</v>
      </c>
      <c r="K46" s="35">
        <f t="shared" si="11"/>
        <v>3500000</v>
      </c>
      <c r="L46" s="35">
        <f t="shared" si="11"/>
        <v>2000000</v>
      </c>
      <c r="M46" s="35">
        <f t="shared" si="11"/>
        <v>2500000</v>
      </c>
    </row>
    <row r="47" spans="1:13" x14ac:dyDescent="0.25">
      <c r="A47" s="1"/>
    </row>
    <row r="48" spans="1:13" x14ac:dyDescent="0.25">
      <c r="A48" s="8" t="s">
        <v>89</v>
      </c>
    </row>
    <row r="49" spans="1:37" ht="15.75" thickBot="1" x14ac:dyDescent="0.3">
      <c r="A49" s="1"/>
    </row>
    <row r="50" spans="1:37" x14ac:dyDescent="0.25">
      <c r="A50" s="9" t="s">
        <v>117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1"/>
    </row>
    <row r="51" spans="1:37" ht="30" x14ac:dyDescent="0.25">
      <c r="A51" s="30" t="s">
        <v>93</v>
      </c>
      <c r="B51" s="33" t="s">
        <v>92</v>
      </c>
      <c r="C51" s="17" t="s">
        <v>79</v>
      </c>
      <c r="D51" s="17"/>
      <c r="E51" s="19">
        <v>30000</v>
      </c>
      <c r="F51" s="19">
        <v>50000</v>
      </c>
      <c r="G51" s="19">
        <v>50000</v>
      </c>
      <c r="H51" s="19">
        <v>70000</v>
      </c>
      <c r="I51" s="19">
        <v>70000</v>
      </c>
      <c r="J51" s="19">
        <v>100000</v>
      </c>
      <c r="K51" s="19">
        <v>150000</v>
      </c>
      <c r="L51" s="19">
        <v>70000</v>
      </c>
      <c r="M51" s="49">
        <v>100000</v>
      </c>
    </row>
    <row r="52" spans="1:37" ht="15.75" thickBot="1" x14ac:dyDescent="0.3">
      <c r="A52" s="31" t="s">
        <v>91</v>
      </c>
      <c r="B52" s="34" t="s">
        <v>90</v>
      </c>
      <c r="C52" s="23" t="s">
        <v>79</v>
      </c>
      <c r="D52" s="23" t="s">
        <v>129</v>
      </c>
      <c r="E52" s="35">
        <f>2/100*E46+E51</f>
        <v>30000</v>
      </c>
      <c r="F52" s="35">
        <f>2/100*F46+F51</f>
        <v>80000</v>
      </c>
      <c r="G52" s="35">
        <f>2/100*G46+G51</f>
        <v>90000</v>
      </c>
      <c r="H52" s="35">
        <f>2/100*H46+H51</f>
        <v>115000</v>
      </c>
      <c r="I52" s="35">
        <f t="shared" ref="I52:M52" si="12">2/100*I46+I51</f>
        <v>130000</v>
      </c>
      <c r="J52" s="35">
        <f t="shared" si="12"/>
        <v>135000</v>
      </c>
      <c r="K52" s="35">
        <f t="shared" si="12"/>
        <v>220000</v>
      </c>
      <c r="L52" s="35">
        <f t="shared" si="12"/>
        <v>110000</v>
      </c>
      <c r="M52" s="56">
        <f t="shared" si="12"/>
        <v>150000</v>
      </c>
    </row>
    <row r="53" spans="1:37" ht="15.75" thickBot="1" x14ac:dyDescent="0.3"/>
    <row r="54" spans="1:37" x14ac:dyDescent="0.25">
      <c r="A54" s="9" t="s">
        <v>118</v>
      </c>
      <c r="B54" s="10"/>
      <c r="C54" s="10"/>
      <c r="D54" s="10"/>
      <c r="E54" s="10"/>
      <c r="F54" s="10"/>
      <c r="G54" s="10"/>
      <c r="H54" s="10"/>
      <c r="I54" s="10"/>
      <c r="J54" s="11"/>
    </row>
    <row r="55" spans="1:37" x14ac:dyDescent="0.25">
      <c r="A55" s="12" t="s">
        <v>134</v>
      </c>
      <c r="B55" s="17" t="s">
        <v>135</v>
      </c>
      <c r="C55" s="17" t="s">
        <v>138</v>
      </c>
      <c r="D55" s="19">
        <v>3.1139999999999999</v>
      </c>
      <c r="E55" s="17"/>
      <c r="F55" s="17"/>
      <c r="G55" s="17"/>
      <c r="H55" s="17"/>
      <c r="I55" s="17"/>
      <c r="J55" s="18"/>
    </row>
    <row r="56" spans="1:37" x14ac:dyDescent="0.25">
      <c r="A56" s="12" t="s">
        <v>136</v>
      </c>
      <c r="B56" s="47" t="s">
        <v>137</v>
      </c>
      <c r="C56" s="47" t="s">
        <v>139</v>
      </c>
      <c r="D56" s="19">
        <v>100</v>
      </c>
      <c r="E56" s="17"/>
      <c r="F56" s="17"/>
      <c r="G56" s="17"/>
      <c r="H56" s="17"/>
      <c r="I56" s="17"/>
      <c r="J56" s="18"/>
    </row>
    <row r="57" spans="1:37" ht="30.75" thickBot="1" x14ac:dyDescent="0.3">
      <c r="A57" s="26" t="s">
        <v>97</v>
      </c>
      <c r="B57" s="37"/>
      <c r="C57" s="23"/>
      <c r="D57" s="17" t="s">
        <v>140</v>
      </c>
      <c r="E57" s="48">
        <f>E40/1000*$D$55*$D$56</f>
        <v>1822975.5743486346</v>
      </c>
      <c r="F57" s="48">
        <f t="shared" ref="F57:M57" si="13">F40/1000*$D$55*$D$56</f>
        <v>1790186.6146529147</v>
      </c>
      <c r="G57" s="48">
        <f t="shared" si="13"/>
        <v>1773343.5412805523</v>
      </c>
      <c r="H57" s="48">
        <f t="shared" si="13"/>
        <v>1773325.8397810971</v>
      </c>
      <c r="I57" s="48">
        <f t="shared" si="13"/>
        <v>1747477.9995651192</v>
      </c>
      <c r="J57" s="48">
        <f t="shared" si="13"/>
        <v>1520928.7164230123</v>
      </c>
      <c r="K57" s="48">
        <f t="shared" si="13"/>
        <v>1213218.478785482</v>
      </c>
      <c r="L57" s="48">
        <f t="shared" si="13"/>
        <v>1606107.1939032013</v>
      </c>
      <c r="M57" s="48">
        <f t="shared" si="13"/>
        <v>1493139.0115520423</v>
      </c>
      <c r="AI57" s="1" t="s">
        <v>167</v>
      </c>
      <c r="AJ57" s="1" t="s">
        <v>168</v>
      </c>
      <c r="AK57" s="1" t="s">
        <v>169</v>
      </c>
    </row>
    <row r="58" spans="1:37" ht="15.75" thickBot="1" x14ac:dyDescent="0.3">
      <c r="AG58" s="1" t="s">
        <v>170</v>
      </c>
      <c r="AH58" s="1" t="s">
        <v>8</v>
      </c>
      <c r="AI58">
        <f>E41</f>
        <v>4683302.6958217975</v>
      </c>
      <c r="AJ58">
        <v>1822975.5743486346</v>
      </c>
      <c r="AK58">
        <v>6536278.2701704316</v>
      </c>
    </row>
    <row r="59" spans="1:37" x14ac:dyDescent="0.25">
      <c r="A59" s="9" t="s">
        <v>119</v>
      </c>
      <c r="B59" s="10"/>
      <c r="C59" s="10"/>
      <c r="D59" s="10"/>
      <c r="E59" s="10"/>
      <c r="F59" s="10"/>
      <c r="G59" s="10"/>
      <c r="H59" s="10"/>
      <c r="I59" s="10"/>
      <c r="J59" s="11"/>
      <c r="AG59" s="1" t="s">
        <v>171</v>
      </c>
      <c r="AH59" s="1" t="s">
        <v>9</v>
      </c>
      <c r="AI59">
        <f>F41</f>
        <v>4599066.4474063329</v>
      </c>
      <c r="AJ59">
        <v>1790186.6146529147</v>
      </c>
      <c r="AK59">
        <v>6469253.0620592479</v>
      </c>
    </row>
    <row r="60" spans="1:37" x14ac:dyDescent="0.25">
      <c r="A60" s="12" t="s">
        <v>7</v>
      </c>
      <c r="B60" s="36" t="s">
        <v>100</v>
      </c>
      <c r="C60" s="17" t="s">
        <v>101</v>
      </c>
      <c r="D60" s="17"/>
      <c r="E60" s="19">
        <v>25</v>
      </c>
      <c r="F60" s="19">
        <v>25</v>
      </c>
      <c r="G60" s="19">
        <v>25</v>
      </c>
      <c r="H60" s="19">
        <v>25</v>
      </c>
      <c r="I60" s="19">
        <v>25</v>
      </c>
      <c r="J60" s="19">
        <v>25</v>
      </c>
      <c r="K60" s="19">
        <v>25</v>
      </c>
      <c r="L60" s="19">
        <v>25</v>
      </c>
      <c r="M60" s="19">
        <v>25</v>
      </c>
      <c r="AG60" s="1" t="s">
        <v>172</v>
      </c>
      <c r="AH60" s="1" t="s">
        <v>10</v>
      </c>
      <c r="AI60">
        <f>G41</f>
        <v>4555795.8671305133</v>
      </c>
      <c r="AJ60">
        <v>1773343.5412805523</v>
      </c>
      <c r="AK60">
        <v>6419139.4084110651</v>
      </c>
    </row>
    <row r="61" spans="1:37" x14ac:dyDescent="0.25">
      <c r="A61" s="12" t="s">
        <v>98</v>
      </c>
      <c r="B61" s="36" t="s">
        <v>99</v>
      </c>
      <c r="C61" s="17" t="s">
        <v>42</v>
      </c>
      <c r="D61" s="17"/>
      <c r="E61" s="19">
        <v>3</v>
      </c>
      <c r="F61" s="19">
        <v>3</v>
      </c>
      <c r="G61" s="19">
        <v>3</v>
      </c>
      <c r="H61" s="19">
        <v>3</v>
      </c>
      <c r="I61" s="19">
        <v>3</v>
      </c>
      <c r="J61" s="19">
        <v>3</v>
      </c>
      <c r="K61" s="19">
        <v>3</v>
      </c>
      <c r="L61" s="19">
        <v>3</v>
      </c>
      <c r="M61" s="19">
        <v>3</v>
      </c>
      <c r="AG61" s="1" t="s">
        <v>173</v>
      </c>
      <c r="AH61" s="1" t="s">
        <v>11</v>
      </c>
      <c r="AI61">
        <f>H41</f>
        <v>4555750.3912166916</v>
      </c>
      <c r="AJ61">
        <v>1773325.8397810971</v>
      </c>
      <c r="AK61">
        <v>6444076.2309977887</v>
      </c>
    </row>
    <row r="62" spans="1:37" ht="15.75" thickBot="1" x14ac:dyDescent="0.3">
      <c r="A62" s="26" t="s">
        <v>96</v>
      </c>
      <c r="B62" s="38" t="s">
        <v>102</v>
      </c>
      <c r="C62" s="23" t="s">
        <v>79</v>
      </c>
      <c r="D62" s="23" t="s">
        <v>130</v>
      </c>
      <c r="E62" s="39">
        <f>E41+E52+E57</f>
        <v>6536278.2701704316</v>
      </c>
      <c r="F62" s="39">
        <f>F41+F52+F57</f>
        <v>6469253.0620592479</v>
      </c>
      <c r="G62" s="39">
        <f>G41+G52+G57</f>
        <v>6419139.4084110651</v>
      </c>
      <c r="H62" s="39">
        <f t="shared" ref="H62:M62" si="14">H41+H52+H57</f>
        <v>6444076.2309977887</v>
      </c>
      <c r="I62" s="39">
        <f t="shared" si="14"/>
        <v>6366824.1769963829</v>
      </c>
      <c r="J62" s="39">
        <f t="shared" si="14"/>
        <v>5563260.0367133468</v>
      </c>
      <c r="K62" s="39">
        <f t="shared" si="14"/>
        <v>4550028.9573609019</v>
      </c>
      <c r="L62" s="39">
        <f t="shared" si="14"/>
        <v>5842265.6881953049</v>
      </c>
      <c r="M62" s="39">
        <f t="shared" si="14"/>
        <v>5479077.3841969809</v>
      </c>
      <c r="AG62" s="1" t="s">
        <v>174</v>
      </c>
      <c r="AH62" s="1" t="s">
        <v>12</v>
      </c>
      <c r="AI62">
        <f>I41</f>
        <v>4489346.177431264</v>
      </c>
      <c r="AJ62">
        <v>1747477.9995651192</v>
      </c>
      <c r="AK62">
        <v>6366824.1769963829</v>
      </c>
    </row>
    <row r="63" spans="1:37" x14ac:dyDescent="0.25">
      <c r="AG63" s="1" t="s">
        <v>175</v>
      </c>
      <c r="AH63" s="1" t="s">
        <v>13</v>
      </c>
      <c r="AI63">
        <f>J41</f>
        <v>3907331.3202903341</v>
      </c>
      <c r="AJ63">
        <v>1520928.7164230123</v>
      </c>
      <c r="AK63">
        <v>5563260.0367133468</v>
      </c>
    </row>
    <row r="64" spans="1:37" x14ac:dyDescent="0.25">
      <c r="AG64" s="1" t="s">
        <v>176</v>
      </c>
      <c r="AH64" s="1" t="s">
        <v>146</v>
      </c>
      <c r="AI64">
        <f>K41</f>
        <v>3116810.4785754196</v>
      </c>
      <c r="AJ64">
        <v>1213218.478785482</v>
      </c>
      <c r="AK64">
        <v>4550028.9573609019</v>
      </c>
    </row>
    <row r="65" spans="33:37" x14ac:dyDescent="0.25">
      <c r="AG65" s="1" t="s">
        <v>177</v>
      </c>
      <c r="AH65" s="1" t="s">
        <v>147</v>
      </c>
      <c r="AI65">
        <f>L41</f>
        <v>4126158.4942921037</v>
      </c>
      <c r="AJ65">
        <v>1606107.1939032013</v>
      </c>
      <c r="AK65">
        <v>5842265.6881953049</v>
      </c>
    </row>
    <row r="66" spans="33:37" x14ac:dyDescent="0.25">
      <c r="AG66" s="1" t="s">
        <v>178</v>
      </c>
      <c r="AH66" s="1" t="s">
        <v>148</v>
      </c>
      <c r="AI66">
        <f>M41</f>
        <v>3835938.3726449385</v>
      </c>
      <c r="AJ66">
        <v>1493139.0115520423</v>
      </c>
      <c r="AK66">
        <v>5479077.3841969809</v>
      </c>
    </row>
    <row r="81" spans="1:68" ht="15.75" x14ac:dyDescent="0.25">
      <c r="F81" s="61" t="s">
        <v>8</v>
      </c>
      <c r="G81" s="61"/>
      <c r="H81" s="61"/>
      <c r="I81" s="61"/>
      <c r="J81" s="61"/>
      <c r="K81" s="61"/>
      <c r="L81" s="61"/>
      <c r="M81" s="61" t="s">
        <v>9</v>
      </c>
      <c r="N81" s="61"/>
      <c r="O81" s="61"/>
      <c r="P81" s="61"/>
      <c r="Q81" s="61"/>
      <c r="R81" s="61"/>
      <c r="S81" s="61"/>
      <c r="T81" s="61" t="s">
        <v>10</v>
      </c>
      <c r="U81" s="61"/>
      <c r="V81" s="61"/>
      <c r="W81" s="61"/>
      <c r="X81" s="61"/>
      <c r="Y81" s="61"/>
      <c r="Z81" s="61"/>
      <c r="AA81" s="61" t="s">
        <v>11</v>
      </c>
      <c r="AB81" s="61"/>
      <c r="AC81" s="61"/>
      <c r="AD81" s="61"/>
      <c r="AE81" s="61"/>
      <c r="AF81" s="61"/>
      <c r="AG81" s="61"/>
      <c r="AH81" s="61" t="s">
        <v>12</v>
      </c>
      <c r="AI81" s="61"/>
      <c r="AJ81" s="61"/>
      <c r="AK81" s="61"/>
      <c r="AL81" s="61"/>
      <c r="AM81" s="61"/>
      <c r="AN81" s="61"/>
      <c r="AO81" s="61" t="s">
        <v>13</v>
      </c>
      <c r="AP81" s="61"/>
      <c r="AQ81" s="61"/>
      <c r="AR81" s="61"/>
      <c r="AS81" s="61"/>
      <c r="AT81" s="61"/>
      <c r="AU81" s="61"/>
      <c r="AV81" s="61" t="s">
        <v>146</v>
      </c>
      <c r="AW81" s="61"/>
      <c r="AX81" s="61"/>
      <c r="AY81" s="61"/>
      <c r="AZ81" s="61"/>
      <c r="BA81" s="61"/>
      <c r="BB81" s="61"/>
      <c r="BC81" s="61" t="s">
        <v>147</v>
      </c>
      <c r="BD81" s="61"/>
      <c r="BE81" s="61"/>
      <c r="BF81" s="61"/>
      <c r="BG81" s="61"/>
      <c r="BH81" s="61"/>
      <c r="BI81" s="61"/>
      <c r="BJ81" s="61" t="s">
        <v>148</v>
      </c>
      <c r="BK81" s="61"/>
      <c r="BL81" s="61"/>
      <c r="BM81" s="61"/>
      <c r="BN81" s="61"/>
      <c r="BO81" s="61"/>
      <c r="BP81" s="61"/>
    </row>
    <row r="82" spans="1:68" ht="135" x14ac:dyDescent="0.25">
      <c r="F82" s="27" t="s">
        <v>107</v>
      </c>
      <c r="M82" s="27" t="s">
        <v>107</v>
      </c>
      <c r="T82" s="27" t="s">
        <v>107</v>
      </c>
      <c r="AA82" s="27" t="s">
        <v>107</v>
      </c>
      <c r="AH82" s="27" t="s">
        <v>107</v>
      </c>
      <c r="AO82" s="27" t="s">
        <v>107</v>
      </c>
      <c r="AV82" s="27" t="s">
        <v>107</v>
      </c>
      <c r="BC82" s="27" t="s">
        <v>107</v>
      </c>
      <c r="BJ82" s="27" t="s">
        <v>107</v>
      </c>
    </row>
    <row r="83" spans="1:68" ht="105" x14ac:dyDescent="0.25">
      <c r="A83" s="1" t="s">
        <v>103</v>
      </c>
      <c r="B83" s="1" t="s">
        <v>104</v>
      </c>
      <c r="C83" s="2" t="s">
        <v>141</v>
      </c>
      <c r="D83" s="1" t="s">
        <v>142</v>
      </c>
      <c r="E83" s="2" t="s">
        <v>105</v>
      </c>
      <c r="F83" s="28" t="s">
        <v>106</v>
      </c>
      <c r="G83" s="2" t="s">
        <v>109</v>
      </c>
      <c r="H83" s="2" t="s">
        <v>108</v>
      </c>
      <c r="I83" s="1" t="s">
        <v>0</v>
      </c>
      <c r="J83" s="2" t="s">
        <v>2</v>
      </c>
      <c r="K83" s="2" t="s">
        <v>110</v>
      </c>
      <c r="L83" s="2" t="s">
        <v>111</v>
      </c>
      <c r="M83" s="28" t="s">
        <v>106</v>
      </c>
      <c r="N83" s="2" t="s">
        <v>109</v>
      </c>
      <c r="O83" s="2" t="s">
        <v>108</v>
      </c>
      <c r="P83" s="1" t="s">
        <v>0</v>
      </c>
      <c r="Q83" s="2" t="s">
        <v>2</v>
      </c>
      <c r="R83" s="2" t="s">
        <v>110</v>
      </c>
      <c r="S83" s="2" t="s">
        <v>111</v>
      </c>
      <c r="T83" s="28" t="s">
        <v>106</v>
      </c>
      <c r="U83" s="2" t="s">
        <v>109</v>
      </c>
      <c r="V83" s="2" t="s">
        <v>108</v>
      </c>
      <c r="W83" s="1" t="s">
        <v>0</v>
      </c>
      <c r="X83" s="2" t="s">
        <v>2</v>
      </c>
      <c r="Y83" s="2" t="s">
        <v>110</v>
      </c>
      <c r="Z83" s="2" t="s">
        <v>111</v>
      </c>
      <c r="AA83" s="28" t="s">
        <v>106</v>
      </c>
      <c r="AB83" s="2" t="s">
        <v>109</v>
      </c>
      <c r="AC83" s="2" t="s">
        <v>108</v>
      </c>
      <c r="AD83" s="1" t="s">
        <v>0</v>
      </c>
      <c r="AE83" s="2" t="s">
        <v>2</v>
      </c>
      <c r="AF83" s="2" t="s">
        <v>110</v>
      </c>
      <c r="AG83" s="2" t="s">
        <v>111</v>
      </c>
      <c r="AH83" s="28" t="s">
        <v>106</v>
      </c>
      <c r="AI83" s="2" t="s">
        <v>109</v>
      </c>
      <c r="AJ83" s="2" t="s">
        <v>108</v>
      </c>
      <c r="AK83" s="1" t="s">
        <v>0</v>
      </c>
      <c r="AL83" s="2" t="s">
        <v>2</v>
      </c>
      <c r="AM83" s="2" t="s">
        <v>110</v>
      </c>
      <c r="AN83" s="2" t="s">
        <v>111</v>
      </c>
      <c r="AO83" s="28" t="s">
        <v>106</v>
      </c>
      <c r="AP83" s="2" t="s">
        <v>109</v>
      </c>
      <c r="AQ83" s="2" t="s">
        <v>108</v>
      </c>
      <c r="AR83" s="1" t="s">
        <v>0</v>
      </c>
      <c r="AS83" s="2" t="s">
        <v>2</v>
      </c>
      <c r="AT83" s="2" t="s">
        <v>110</v>
      </c>
      <c r="AU83" s="2" t="s">
        <v>111</v>
      </c>
      <c r="AV83" s="28" t="s">
        <v>106</v>
      </c>
      <c r="AW83" s="2" t="s">
        <v>109</v>
      </c>
      <c r="AX83" s="2" t="s">
        <v>108</v>
      </c>
      <c r="AY83" s="1" t="s">
        <v>0</v>
      </c>
      <c r="AZ83" s="2" t="s">
        <v>2</v>
      </c>
      <c r="BA83" s="2" t="s">
        <v>110</v>
      </c>
      <c r="BB83" s="2" t="s">
        <v>111</v>
      </c>
      <c r="BC83" s="28" t="s">
        <v>106</v>
      </c>
      <c r="BD83" s="2" t="s">
        <v>109</v>
      </c>
      <c r="BE83" s="2" t="s">
        <v>108</v>
      </c>
      <c r="BF83" s="1" t="s">
        <v>0</v>
      </c>
      <c r="BG83" s="2" t="s">
        <v>2</v>
      </c>
      <c r="BH83" s="2" t="s">
        <v>110</v>
      </c>
      <c r="BI83" s="2" t="s">
        <v>111</v>
      </c>
      <c r="BJ83" s="28" t="s">
        <v>106</v>
      </c>
      <c r="BK83" s="2" t="s">
        <v>109</v>
      </c>
      <c r="BL83" s="2" t="s">
        <v>108</v>
      </c>
      <c r="BM83" s="1" t="s">
        <v>0</v>
      </c>
      <c r="BN83" s="2" t="s">
        <v>2</v>
      </c>
      <c r="BO83" s="2" t="s">
        <v>110</v>
      </c>
      <c r="BP83" s="2" t="s">
        <v>111</v>
      </c>
    </row>
    <row r="84" spans="1:68" x14ac:dyDescent="0.25">
      <c r="A84">
        <v>0</v>
      </c>
      <c r="B84">
        <v>0</v>
      </c>
      <c r="C84">
        <f>$AB$2</f>
        <v>1.55E-2</v>
      </c>
      <c r="D84" cm="1">
        <f t="array" ref="D84:D93">$AD$2:$AD$11</f>
        <v>0</v>
      </c>
      <c r="E84">
        <f>C84*D84*100</f>
        <v>0</v>
      </c>
      <c r="F84" s="29">
        <v>499996.8</v>
      </c>
      <c r="G84">
        <f t="shared" ref="G84" si="15">$E$12*F84</f>
        <v>3599976.96</v>
      </c>
      <c r="H84">
        <f t="shared" ref="H84" si="16">G84*100/$E$15</f>
        <v>5142824.2285714289</v>
      </c>
      <c r="I84">
        <f>100*H84/$E$14</f>
        <v>42.856868571428571</v>
      </c>
      <c r="J84">
        <f>IF(I84&gt;=75,FORECAST(I84,$X$5:$X$7,$W$5:$W$7),FORECAST(I84,$X$2:$X$5,$W$2:$W$5))</f>
        <v>173.24143137466308</v>
      </c>
      <c r="K84">
        <f>H84*J84/1000</f>
        <v>890950.2306660118</v>
      </c>
      <c r="L84">
        <f>E84/100*K84</f>
        <v>0</v>
      </c>
      <c r="M84" s="29">
        <v>497262.01628215</v>
      </c>
      <c r="N84">
        <f>$F$12*M84</f>
        <v>3580286.5172314802</v>
      </c>
      <c r="O84">
        <f>N84*100/$F$15</f>
        <v>5114695.0246164007</v>
      </c>
      <c r="P84">
        <f>100*O84/$F$14</f>
        <v>42.622458538470006</v>
      </c>
      <c r="Q84">
        <f>IF(P84&gt;=75,FORECAST(P84,$X$5:$X$7,$W$5:$W$7),FORECAST(P84,$X$2:$X$5,$W$2:$W$5))</f>
        <v>173.40507611465301</v>
      </c>
      <c r="R84">
        <f>O84*Q84/1000</f>
        <v>886914.08004684397</v>
      </c>
      <c r="S84">
        <f>E84/100*R84</f>
        <v>0</v>
      </c>
      <c r="T84" s="29">
        <v>495896.49336833</v>
      </c>
      <c r="U84">
        <f t="shared" ref="U84:U115" si="17">$G$12*T84</f>
        <v>3570454.7522519762</v>
      </c>
      <c r="V84">
        <f t="shared" ref="V84:V115" si="18">U84*100/$G$15</f>
        <v>5100649.6460742513</v>
      </c>
      <c r="W84">
        <f t="shared" ref="W84:W115" si="19">100*V84/$G$14</f>
        <v>42.505413717285428</v>
      </c>
      <c r="X84">
        <f>IF(W84&gt;=75,FORECAST(W84,$X$5:$X$7,$W$5:$W$7),FORECAST(W84,$X$2:$X$5,$W$2:$W$5))</f>
        <v>173.48678665019696</v>
      </c>
      <c r="Y84">
        <f>V84*X84/1000</f>
        <v>884895.31692588632</v>
      </c>
      <c r="Z84">
        <f>E84/100*Y84</f>
        <v>0</v>
      </c>
      <c r="AA84" s="29">
        <v>495890.88537600002</v>
      </c>
      <c r="AB84">
        <f t="shared" ref="AB84:AB115" si="20">$H$12*AA84</f>
        <v>3570414.3747072001</v>
      </c>
      <c r="AC84">
        <f>AB84*100/$H$15</f>
        <v>5100591.9638674287</v>
      </c>
      <c r="AD84">
        <f>100*AC84/$H$14</f>
        <v>42.504933032228571</v>
      </c>
      <c r="AE84">
        <f>IF(AD84&gt;=75,FORECAST(AD84,$X$5:$X$7,$W$5:$W$7),FORECAST(AD84,$X$2:$X$5,$W$2:$W$5))</f>
        <v>173.48712222278382</v>
      </c>
      <c r="AF84">
        <f>AC84*AE84/1000</f>
        <v>884887.02144401753</v>
      </c>
      <c r="AG84">
        <f>E84/100*AF84</f>
        <v>0</v>
      </c>
      <c r="AH84" s="29">
        <v>493837.92806399998</v>
      </c>
      <c r="AI84">
        <f>$I$12*AH84</f>
        <v>3555633.0820607999</v>
      </c>
      <c r="AJ84">
        <f>AI84*100/$I$15</f>
        <v>5079475.8315154286</v>
      </c>
      <c r="AK84">
        <f>100*AJ84/$I$14</f>
        <v>42.328965262628572</v>
      </c>
      <c r="AL84">
        <f>IF(AK84&gt;=75,FORECAST(AK84,$X$5:$X$7,$W$5:$W$7),FORECAST(AK84,$X$2:$X$5,$W$2:$W$5))</f>
        <v>173.60996764684421</v>
      </c>
      <c r="AM84">
        <f>AJ84*AL84/1000</f>
        <v>881847.63477232063</v>
      </c>
      <c r="AN84">
        <f>E84/100*AM84</f>
        <v>0</v>
      </c>
      <c r="AO84" s="29">
        <v>477494.41403548798</v>
      </c>
      <c r="AP84">
        <f>$J$12*AO84</f>
        <v>3437959.7810555133</v>
      </c>
      <c r="AQ84">
        <f>AP84*100/$J$15</f>
        <v>4911371.1157935904</v>
      </c>
      <c r="AR84">
        <f>100*AQ84/$J$14</f>
        <v>40.928092631613254</v>
      </c>
      <c r="AS84">
        <f>IF(AR84&gt;=75,FORECAST(AR84,$X$5:$X$7,$W$5:$W$7),FORECAST(AR84,$X$2:$X$5,$W$2:$W$5))</f>
        <v>174.58793533264736</v>
      </c>
      <c r="AT84">
        <f>AQ84*AS84/1000</f>
        <v>857466.14275880344</v>
      </c>
      <c r="AU84">
        <f>E84/100*AT84</f>
        <v>0</v>
      </c>
      <c r="AV84" s="29">
        <v>455024.298571739</v>
      </c>
      <c r="AW84">
        <f>$K$12*AV84</f>
        <v>3276174.949716521</v>
      </c>
      <c r="AX84">
        <f>AW84*100/$K$15</f>
        <v>4680249.9281664584</v>
      </c>
      <c r="AY84">
        <f>100*AX84/$K$14</f>
        <v>39.002082734720489</v>
      </c>
      <c r="AZ84">
        <f>IF(AY84&gt;=75,FORECAST(AY84,$X$5:$X$7,$W$5:$W$7),FORECAST(AY84,$X$2:$X$5,$W$2:$W$5))</f>
        <v>175.93250827953474</v>
      </c>
      <c r="BA84">
        <f>AX84*AZ84/1000</f>
        <v>823408.10923743737</v>
      </c>
      <c r="BB84">
        <f>E84/100*BA84</f>
        <v>0</v>
      </c>
      <c r="BC84" s="29">
        <v>497723.17475911701</v>
      </c>
      <c r="BD84">
        <f>$L$12*BC84</f>
        <v>3583606.8582656425</v>
      </c>
      <c r="BE84">
        <f>BD84*100/$L$15</f>
        <v>5119438.3689509183</v>
      </c>
      <c r="BF84">
        <f>100*BE84/$L$14</f>
        <v>42.661986407924317</v>
      </c>
      <c r="BG84">
        <f>IF(BF84&gt;=75,FORECAST(BF84,$X$5:$X$7,$W$5:$W$7),FORECAST(BF84,$X$2:$X$5,$W$2:$W$5))</f>
        <v>173.37748118692076</v>
      </c>
      <c r="BH84">
        <f>BE84*BG84/1000</f>
        <v>887595.32950038812</v>
      </c>
      <c r="BI84">
        <f>E84/100*BH84</f>
        <v>0</v>
      </c>
      <c r="BJ84" s="29">
        <v>496583.23177899601</v>
      </c>
      <c r="BK84">
        <f>$M$12*BJ84</f>
        <v>3575399.2688087714</v>
      </c>
      <c r="BL84">
        <f>BK84*100/$M$15</f>
        <v>5107713.2411553878</v>
      </c>
      <c r="BM84">
        <f>100*BL84/$M$14</f>
        <v>42.564277009628235</v>
      </c>
      <c r="BN84">
        <f>IF(BM84&gt;=75,FORECAST(BM84,$X$5:$X$7,$W$5:$W$7),FORECAST(BM84,$X$2:$X$5,$W$2:$W$5))</f>
        <v>173.44569340837273</v>
      </c>
      <c r="BO84">
        <f>BL84*BN84/1000</f>
        <v>885910.86484332324</v>
      </c>
      <c r="BP84">
        <f>E84/100*BO84</f>
        <v>0</v>
      </c>
    </row>
    <row r="85" spans="1:68" x14ac:dyDescent="0.25">
      <c r="A85">
        <v>0</v>
      </c>
      <c r="B85">
        <v>20</v>
      </c>
      <c r="C85">
        <f t="shared" ref="C85:C93" si="21">$AB$2</f>
        <v>1.55E-2</v>
      </c>
      <c r="D85">
        <v>0.06</v>
      </c>
      <c r="E85">
        <f t="shared" ref="E85:E148" si="22">C85*D85*100</f>
        <v>9.2999999999999999E-2</v>
      </c>
      <c r="F85" s="29">
        <v>499996.8</v>
      </c>
      <c r="G85">
        <f t="shared" ref="G85:G148" si="23">$E$12*F85</f>
        <v>3599976.96</v>
      </c>
      <c r="H85">
        <f t="shared" ref="H85:H148" si="24">G85*100/$E$15</f>
        <v>5142824.2285714289</v>
      </c>
      <c r="I85">
        <f t="shared" ref="I85:I148" si="25">100*H85/$E$14</f>
        <v>42.856868571428571</v>
      </c>
      <c r="J85">
        <f t="shared" ref="J85:J148" si="26">IF(I85&gt;=75,FORECAST(I85,$X$5:$X$7,$W$5:$W$7),FORECAST(I85,$X$2:$X$5,$W$2:$W$5))</f>
        <v>173.24143137466308</v>
      </c>
      <c r="K85">
        <f t="shared" ref="K85:K148" si="27">H85*J85/1000</f>
        <v>890950.2306660118</v>
      </c>
      <c r="L85">
        <f t="shared" ref="L85:L148" si="28">E85/100*K85</f>
        <v>828.58371451939092</v>
      </c>
      <c r="M85" s="7">
        <v>497262.01628215</v>
      </c>
      <c r="N85">
        <f t="shared" ref="N85:N148" si="29">$F$12*M85</f>
        <v>3580286.5172314802</v>
      </c>
      <c r="O85">
        <f t="shared" ref="O85:O148" si="30">N85*100/$F$15</f>
        <v>5114695.0246164007</v>
      </c>
      <c r="P85">
        <f t="shared" ref="P85:P148" si="31">100*O85/$F$14</f>
        <v>42.622458538470006</v>
      </c>
      <c r="Q85">
        <f t="shared" ref="Q85:Q148" si="32">IF(P85&gt;=75,FORECAST(P85,$X$5:$X$7,$W$5:$W$7),FORECAST(P85,$X$2:$X$5,$W$2:$W$5))</f>
        <v>173.40507611465301</v>
      </c>
      <c r="R85">
        <f t="shared" ref="R85:R148" si="33">O85*Q85/1000</f>
        <v>886914.08004684397</v>
      </c>
      <c r="S85">
        <f t="shared" ref="S85:S148" si="34">E85/100*R85</f>
        <v>824.8300944435648</v>
      </c>
      <c r="T85" s="29">
        <v>495896.49336833</v>
      </c>
      <c r="U85">
        <f t="shared" si="17"/>
        <v>3570454.7522519762</v>
      </c>
      <c r="V85">
        <f t="shared" si="18"/>
        <v>5100649.6460742513</v>
      </c>
      <c r="W85">
        <f t="shared" si="19"/>
        <v>42.505413717285428</v>
      </c>
      <c r="X85">
        <f t="shared" ref="X85:X148" si="35">IF(W85&gt;=75,FORECAST(W85,$X$5:$X$7,$W$5:$W$7),FORECAST(W85,$X$2:$X$5,$W$2:$W$5))</f>
        <v>173.48678665019696</v>
      </c>
      <c r="Y85">
        <f t="shared" ref="Y85:Y148" si="36">V85*X85/1000</f>
        <v>884895.31692588632</v>
      </c>
      <c r="Z85">
        <f t="shared" ref="Z85:Z148" si="37">E85/100*Y85</f>
        <v>822.95264474107421</v>
      </c>
      <c r="AA85" s="29">
        <v>495890.88537600002</v>
      </c>
      <c r="AB85">
        <f t="shared" si="20"/>
        <v>3570414.3747072001</v>
      </c>
      <c r="AC85">
        <f t="shared" ref="AC85:AC148" si="38">AB85*100/$H$15</f>
        <v>5100591.9638674287</v>
      </c>
      <c r="AD85">
        <f t="shared" ref="AD85:AD148" si="39">100*AC85/$H$14</f>
        <v>42.504933032228571</v>
      </c>
      <c r="AE85">
        <f t="shared" ref="AE85:AE148" si="40">IF(AD85&gt;=75,FORECAST(AD85,$X$5:$X$7,$W$5:$W$7),FORECAST(AD85,$X$2:$X$5,$W$2:$W$5))</f>
        <v>173.48712222278382</v>
      </c>
      <c r="AF85">
        <f t="shared" ref="AF85:AF148" si="41">AC85*AE85/1000</f>
        <v>884887.02144401753</v>
      </c>
      <c r="AG85">
        <f t="shared" ref="AG85:AG148" si="42">E85/100*AF85</f>
        <v>822.94492994293626</v>
      </c>
      <c r="AH85" s="29">
        <v>493837.92806399998</v>
      </c>
      <c r="AI85">
        <f t="shared" ref="AI85:AI148" si="43">$I$12*AH85</f>
        <v>3555633.0820607999</v>
      </c>
      <c r="AJ85">
        <f t="shared" ref="AJ85:AJ148" si="44">AI85*100/$I$15</f>
        <v>5079475.8315154286</v>
      </c>
      <c r="AK85">
        <f t="shared" ref="AK85:AK148" si="45">100*AJ85/$I$14</f>
        <v>42.328965262628572</v>
      </c>
      <c r="AL85">
        <f t="shared" ref="AL85:AL148" si="46">IF(AK85&gt;=75,FORECAST(AK85,$X$5:$X$7,$W$5:$W$7),FORECAST(AK85,$X$2:$X$5,$W$2:$W$5))</f>
        <v>173.60996764684421</v>
      </c>
      <c r="AM85">
        <f t="shared" ref="AM85:AM148" si="47">AJ85*AL85/1000</f>
        <v>881847.63477232063</v>
      </c>
      <c r="AN85">
        <f t="shared" ref="AN85:AN148" si="48">E85/100*AM85</f>
        <v>820.11830033825811</v>
      </c>
      <c r="AO85" s="29">
        <v>477494.41403548798</v>
      </c>
      <c r="AP85">
        <f t="shared" ref="AP85:AP148" si="49">$J$12*AO85</f>
        <v>3437959.7810555133</v>
      </c>
      <c r="AQ85">
        <f t="shared" ref="AQ85:AQ148" si="50">AP85*100/$J$15</f>
        <v>4911371.1157935904</v>
      </c>
      <c r="AR85">
        <f t="shared" ref="AR85:AR148" si="51">100*AQ85/$J$14</f>
        <v>40.928092631613254</v>
      </c>
      <c r="AS85">
        <f t="shared" ref="AS85:AS148" si="52">IF(AR85&gt;=75,FORECAST(AR85,$X$5:$X$7,$W$5:$W$7),FORECAST(AR85,$X$2:$X$5,$W$2:$W$5))</f>
        <v>174.58793533264736</v>
      </c>
      <c r="AT85">
        <f t="shared" ref="AT85:AT148" si="53">AQ85*AS85/1000</f>
        <v>857466.14275880344</v>
      </c>
      <c r="AU85">
        <f t="shared" ref="AU85:AU148" si="54">E85/100*AT85</f>
        <v>797.44351276568716</v>
      </c>
      <c r="AV85" s="29">
        <v>455024.298571739</v>
      </c>
      <c r="AW85">
        <f t="shared" ref="AW85:AW148" si="55">$K$12*AV85</f>
        <v>3276174.949716521</v>
      </c>
      <c r="AX85">
        <f t="shared" ref="AX85:AX148" si="56">AW85*100/$K$15</f>
        <v>4680249.9281664584</v>
      </c>
      <c r="AY85">
        <f t="shared" ref="AY85:AY148" si="57">100*AX85/$K$14</f>
        <v>39.002082734720489</v>
      </c>
      <c r="AZ85">
        <f t="shared" ref="AZ85:AZ148" si="58">IF(AY85&gt;=75,FORECAST(AY85,$X$5:$X$7,$W$5:$W$7),FORECAST(AY85,$X$2:$X$5,$W$2:$W$5))</f>
        <v>175.93250827953474</v>
      </c>
      <c r="BA85">
        <f t="shared" ref="BA85:BA148" si="59">AX85*AZ85/1000</f>
        <v>823408.10923743737</v>
      </c>
      <c r="BB85">
        <f t="shared" ref="BB85:BB148" si="60">E85/100*BA85</f>
        <v>765.76954159081674</v>
      </c>
      <c r="BC85" s="29">
        <v>497723.17475911701</v>
      </c>
      <c r="BD85">
        <f t="shared" ref="BD85:BD148" si="61">$L$12*BC85</f>
        <v>3583606.8582656425</v>
      </c>
      <c r="BE85">
        <f t="shared" ref="BE85:BE148" si="62">BD85*100/$L$15</f>
        <v>5119438.3689509183</v>
      </c>
      <c r="BF85">
        <f t="shared" ref="BF85:BF148" si="63">100*BE85/$L$14</f>
        <v>42.661986407924317</v>
      </c>
      <c r="BG85">
        <f t="shared" ref="BG85:BG148" si="64">IF(BF85&gt;=75,FORECAST(BF85,$X$5:$X$7,$W$5:$W$7),FORECAST(BF85,$X$2:$X$5,$W$2:$W$5))</f>
        <v>173.37748118692076</v>
      </c>
      <c r="BH85">
        <f t="shared" ref="BH85:BH148" si="65">BE85*BG85/1000</f>
        <v>887595.32950038812</v>
      </c>
      <c r="BI85">
        <f t="shared" ref="BI85:BI148" si="66">E85/100*BH85</f>
        <v>825.46365643536092</v>
      </c>
      <c r="BJ85" s="29">
        <v>496583.23177899601</v>
      </c>
      <c r="BK85">
        <f t="shared" ref="BK85:BK148" si="67">$M$12*BJ85</f>
        <v>3575399.2688087714</v>
      </c>
      <c r="BL85">
        <f t="shared" ref="BL85:BL148" si="68">BK85*100/$M$15</f>
        <v>5107713.2411553878</v>
      </c>
      <c r="BM85">
        <f t="shared" ref="BM85:BM148" si="69">100*BL85/$M$14</f>
        <v>42.564277009628235</v>
      </c>
      <c r="BN85">
        <f t="shared" ref="BN85:BN148" si="70">IF(BM85&gt;=75,FORECAST(BM85,$X$5:$X$7,$W$5:$W$7),FORECAST(BM85,$X$2:$X$5,$W$2:$W$5))</f>
        <v>173.44569340837273</v>
      </c>
      <c r="BO85">
        <f t="shared" ref="BO85:BO148" si="71">BL85*BN85/1000</f>
        <v>885910.86484332324</v>
      </c>
      <c r="BP85">
        <f t="shared" ref="BP85:BP148" si="72">E85/100*BO85</f>
        <v>823.89710430429056</v>
      </c>
    </row>
    <row r="86" spans="1:68" x14ac:dyDescent="0.25">
      <c r="A86">
        <v>0</v>
      </c>
      <c r="B86">
        <v>40</v>
      </c>
      <c r="C86">
        <f t="shared" si="21"/>
        <v>1.55E-2</v>
      </c>
      <c r="D86">
        <v>0.113</v>
      </c>
      <c r="E86">
        <f t="shared" si="22"/>
        <v>0.17515</v>
      </c>
      <c r="F86" s="29">
        <v>499996.8</v>
      </c>
      <c r="G86">
        <f t="shared" si="23"/>
        <v>3599976.96</v>
      </c>
      <c r="H86">
        <f t="shared" si="24"/>
        <v>5142824.2285714289</v>
      </c>
      <c r="I86">
        <f t="shared" si="25"/>
        <v>42.856868571428571</v>
      </c>
      <c r="J86">
        <f t="shared" si="26"/>
        <v>173.24143137466308</v>
      </c>
      <c r="K86">
        <f t="shared" si="27"/>
        <v>890950.2306660118</v>
      </c>
      <c r="L86">
        <f t="shared" si="28"/>
        <v>1560.4993290115196</v>
      </c>
      <c r="M86" s="7">
        <v>497262.01628215</v>
      </c>
      <c r="N86">
        <f t="shared" si="29"/>
        <v>3580286.5172314802</v>
      </c>
      <c r="O86">
        <f t="shared" si="30"/>
        <v>5114695.0246164007</v>
      </c>
      <c r="P86">
        <f t="shared" si="31"/>
        <v>42.622458538470006</v>
      </c>
      <c r="Q86">
        <f t="shared" si="32"/>
        <v>173.40507611465301</v>
      </c>
      <c r="R86">
        <f t="shared" si="33"/>
        <v>886914.08004684397</v>
      </c>
      <c r="S86">
        <f t="shared" si="34"/>
        <v>1553.4300112020471</v>
      </c>
      <c r="T86" s="29">
        <v>495896.49336833</v>
      </c>
      <c r="U86">
        <f t="shared" si="17"/>
        <v>3570454.7522519762</v>
      </c>
      <c r="V86">
        <f t="shared" si="18"/>
        <v>5100649.6460742513</v>
      </c>
      <c r="W86">
        <f t="shared" si="19"/>
        <v>42.505413717285428</v>
      </c>
      <c r="X86">
        <f t="shared" si="35"/>
        <v>173.48678665019696</v>
      </c>
      <c r="Y86">
        <f t="shared" si="36"/>
        <v>884895.31692588632</v>
      </c>
      <c r="Z86">
        <f t="shared" si="37"/>
        <v>1549.8941475956899</v>
      </c>
      <c r="AA86" s="29">
        <v>495890.88537600002</v>
      </c>
      <c r="AB86">
        <f t="shared" si="20"/>
        <v>3570414.3747072001</v>
      </c>
      <c r="AC86">
        <f t="shared" si="38"/>
        <v>5100591.9638674287</v>
      </c>
      <c r="AD86">
        <f t="shared" si="39"/>
        <v>42.504933032228571</v>
      </c>
      <c r="AE86">
        <f t="shared" si="40"/>
        <v>173.48712222278382</v>
      </c>
      <c r="AF86">
        <f t="shared" si="41"/>
        <v>884887.02144401753</v>
      </c>
      <c r="AG86">
        <f t="shared" si="42"/>
        <v>1549.8796180591967</v>
      </c>
      <c r="AH86" s="29">
        <v>493837.92806399998</v>
      </c>
      <c r="AI86">
        <f t="shared" si="43"/>
        <v>3555633.0820607999</v>
      </c>
      <c r="AJ86">
        <f t="shared" si="44"/>
        <v>5079475.8315154286</v>
      </c>
      <c r="AK86">
        <f t="shared" si="45"/>
        <v>42.328965262628572</v>
      </c>
      <c r="AL86">
        <f t="shared" si="46"/>
        <v>173.60996764684421</v>
      </c>
      <c r="AM86">
        <f t="shared" si="47"/>
        <v>881847.63477232063</v>
      </c>
      <c r="AN86">
        <f t="shared" si="48"/>
        <v>1544.5561323037196</v>
      </c>
      <c r="AO86" s="29">
        <v>477494.41403548798</v>
      </c>
      <c r="AP86">
        <f t="shared" si="49"/>
        <v>3437959.7810555133</v>
      </c>
      <c r="AQ86">
        <f t="shared" si="50"/>
        <v>4911371.1157935904</v>
      </c>
      <c r="AR86">
        <f t="shared" si="51"/>
        <v>40.928092631613254</v>
      </c>
      <c r="AS86">
        <f t="shared" si="52"/>
        <v>174.58793533264736</v>
      </c>
      <c r="AT86">
        <f t="shared" si="53"/>
        <v>857466.14275880344</v>
      </c>
      <c r="AU86">
        <f t="shared" si="54"/>
        <v>1501.8519490420442</v>
      </c>
      <c r="AV86" s="29">
        <v>455024.298571739</v>
      </c>
      <c r="AW86">
        <f t="shared" si="55"/>
        <v>3276174.949716521</v>
      </c>
      <c r="AX86">
        <f t="shared" si="56"/>
        <v>4680249.9281664584</v>
      </c>
      <c r="AY86">
        <f t="shared" si="57"/>
        <v>39.002082734720489</v>
      </c>
      <c r="AZ86">
        <f t="shared" si="58"/>
        <v>175.93250827953474</v>
      </c>
      <c r="BA86">
        <f t="shared" si="59"/>
        <v>823408.10923743737</v>
      </c>
      <c r="BB86">
        <f t="shared" si="60"/>
        <v>1442.1993033293716</v>
      </c>
      <c r="BC86" s="29">
        <v>497723.17475911701</v>
      </c>
      <c r="BD86">
        <f t="shared" si="61"/>
        <v>3583606.8582656425</v>
      </c>
      <c r="BE86">
        <f t="shared" si="62"/>
        <v>5119438.3689509183</v>
      </c>
      <c r="BF86">
        <f t="shared" si="63"/>
        <v>42.661986407924317</v>
      </c>
      <c r="BG86">
        <f t="shared" si="64"/>
        <v>173.37748118692076</v>
      </c>
      <c r="BH86">
        <f t="shared" si="65"/>
        <v>887595.32950038812</v>
      </c>
      <c r="BI86">
        <f t="shared" si="66"/>
        <v>1554.6232196199298</v>
      </c>
      <c r="BJ86" s="29">
        <v>496583.23177899601</v>
      </c>
      <c r="BK86">
        <f t="shared" si="67"/>
        <v>3575399.2688087714</v>
      </c>
      <c r="BL86">
        <f t="shared" si="68"/>
        <v>5107713.2411553878</v>
      </c>
      <c r="BM86">
        <f t="shared" si="69"/>
        <v>42.564277009628235</v>
      </c>
      <c r="BN86">
        <f t="shared" si="70"/>
        <v>173.44569340837273</v>
      </c>
      <c r="BO86">
        <f t="shared" si="71"/>
        <v>885910.86484332324</v>
      </c>
      <c r="BP86">
        <f t="shared" si="72"/>
        <v>1551.6728797730807</v>
      </c>
    </row>
    <row r="87" spans="1:68" x14ac:dyDescent="0.25">
      <c r="A87">
        <v>0</v>
      </c>
      <c r="B87">
        <v>60</v>
      </c>
      <c r="C87">
        <f t="shared" si="21"/>
        <v>1.55E-2</v>
      </c>
      <c r="D87">
        <v>0.153</v>
      </c>
      <c r="E87">
        <f t="shared" si="22"/>
        <v>0.23715</v>
      </c>
      <c r="F87" s="29">
        <v>499996.8</v>
      </c>
      <c r="G87">
        <f t="shared" si="23"/>
        <v>3599976.96</v>
      </c>
      <c r="H87">
        <f t="shared" si="24"/>
        <v>5142824.2285714289</v>
      </c>
      <c r="I87">
        <f t="shared" si="25"/>
        <v>42.856868571428571</v>
      </c>
      <c r="J87">
        <f t="shared" si="26"/>
        <v>173.24143137466308</v>
      </c>
      <c r="K87">
        <f t="shared" si="27"/>
        <v>890950.2306660118</v>
      </c>
      <c r="L87">
        <f t="shared" si="28"/>
        <v>2112.8884720244469</v>
      </c>
      <c r="M87" s="7">
        <v>497262.01628215</v>
      </c>
      <c r="N87">
        <f t="shared" si="29"/>
        <v>3580286.5172314802</v>
      </c>
      <c r="O87">
        <f t="shared" si="30"/>
        <v>5114695.0246164007</v>
      </c>
      <c r="P87">
        <f t="shared" si="31"/>
        <v>42.622458538470006</v>
      </c>
      <c r="Q87">
        <f t="shared" si="32"/>
        <v>173.40507611465301</v>
      </c>
      <c r="R87">
        <f t="shared" si="33"/>
        <v>886914.08004684397</v>
      </c>
      <c r="S87">
        <f t="shared" si="34"/>
        <v>2103.3167408310906</v>
      </c>
      <c r="T87" s="29">
        <v>495896.49336833</v>
      </c>
      <c r="U87">
        <f t="shared" si="17"/>
        <v>3570454.7522519762</v>
      </c>
      <c r="V87">
        <f t="shared" si="18"/>
        <v>5100649.6460742513</v>
      </c>
      <c r="W87">
        <f t="shared" si="19"/>
        <v>42.505413717285428</v>
      </c>
      <c r="X87">
        <f t="shared" si="35"/>
        <v>173.48678665019696</v>
      </c>
      <c r="Y87">
        <f t="shared" si="36"/>
        <v>884895.31692588632</v>
      </c>
      <c r="Z87">
        <f t="shared" si="37"/>
        <v>2098.5292440897392</v>
      </c>
      <c r="AA87" s="29">
        <v>495890.88537600002</v>
      </c>
      <c r="AB87">
        <f t="shared" si="20"/>
        <v>3570414.3747072001</v>
      </c>
      <c r="AC87">
        <f t="shared" si="38"/>
        <v>5100591.9638674287</v>
      </c>
      <c r="AD87">
        <f t="shared" si="39"/>
        <v>42.504933032228571</v>
      </c>
      <c r="AE87">
        <f t="shared" si="40"/>
        <v>173.48712222278382</v>
      </c>
      <c r="AF87">
        <f t="shared" si="41"/>
        <v>884887.02144401753</v>
      </c>
      <c r="AG87">
        <f t="shared" si="42"/>
        <v>2098.5095713544874</v>
      </c>
      <c r="AH87" s="29">
        <v>493837.92806399998</v>
      </c>
      <c r="AI87">
        <f t="shared" si="43"/>
        <v>3555633.0820607999</v>
      </c>
      <c r="AJ87">
        <f t="shared" si="44"/>
        <v>5079475.8315154286</v>
      </c>
      <c r="AK87">
        <f t="shared" si="45"/>
        <v>42.328965262628572</v>
      </c>
      <c r="AL87">
        <f t="shared" si="46"/>
        <v>173.60996764684421</v>
      </c>
      <c r="AM87">
        <f t="shared" si="47"/>
        <v>881847.63477232063</v>
      </c>
      <c r="AN87">
        <f t="shared" si="48"/>
        <v>2091.3016658625584</v>
      </c>
      <c r="AO87" s="29">
        <v>477494.41403548798</v>
      </c>
      <c r="AP87">
        <f t="shared" si="49"/>
        <v>3437959.7810555133</v>
      </c>
      <c r="AQ87">
        <f t="shared" si="50"/>
        <v>4911371.1157935904</v>
      </c>
      <c r="AR87">
        <f t="shared" si="51"/>
        <v>40.928092631613254</v>
      </c>
      <c r="AS87">
        <f t="shared" si="52"/>
        <v>174.58793533264736</v>
      </c>
      <c r="AT87">
        <f t="shared" si="53"/>
        <v>857466.14275880344</v>
      </c>
      <c r="AU87">
        <f t="shared" si="54"/>
        <v>2033.4809575525023</v>
      </c>
      <c r="AV87" s="29">
        <v>455024.298571739</v>
      </c>
      <c r="AW87">
        <f t="shared" si="55"/>
        <v>3276174.949716521</v>
      </c>
      <c r="AX87">
        <f t="shared" si="56"/>
        <v>4680249.9281664584</v>
      </c>
      <c r="AY87">
        <f t="shared" si="57"/>
        <v>39.002082734720489</v>
      </c>
      <c r="AZ87">
        <f t="shared" si="58"/>
        <v>175.93250827953474</v>
      </c>
      <c r="BA87">
        <f t="shared" si="59"/>
        <v>823408.10923743737</v>
      </c>
      <c r="BB87">
        <f t="shared" si="60"/>
        <v>1952.7123310565826</v>
      </c>
      <c r="BC87" s="29">
        <v>497723.17475911701</v>
      </c>
      <c r="BD87">
        <f t="shared" si="61"/>
        <v>3583606.8582656425</v>
      </c>
      <c r="BE87">
        <f t="shared" si="62"/>
        <v>5119438.3689509183</v>
      </c>
      <c r="BF87">
        <f t="shared" si="63"/>
        <v>42.661986407924317</v>
      </c>
      <c r="BG87">
        <f t="shared" si="64"/>
        <v>173.37748118692076</v>
      </c>
      <c r="BH87">
        <f t="shared" si="65"/>
        <v>887595.32950038812</v>
      </c>
      <c r="BI87">
        <f t="shared" si="66"/>
        <v>2104.9323239101705</v>
      </c>
      <c r="BJ87" s="29">
        <v>496583.23177899601</v>
      </c>
      <c r="BK87">
        <f t="shared" si="67"/>
        <v>3575399.2688087714</v>
      </c>
      <c r="BL87">
        <f t="shared" si="68"/>
        <v>5107713.2411553878</v>
      </c>
      <c r="BM87">
        <f t="shared" si="69"/>
        <v>42.564277009628235</v>
      </c>
      <c r="BN87">
        <f t="shared" si="70"/>
        <v>173.44569340837273</v>
      </c>
      <c r="BO87">
        <f t="shared" si="71"/>
        <v>885910.86484332324</v>
      </c>
      <c r="BP87">
        <f t="shared" si="72"/>
        <v>2100.9376159759408</v>
      </c>
    </row>
    <row r="88" spans="1:68" x14ac:dyDescent="0.25">
      <c r="A88">
        <v>0</v>
      </c>
      <c r="B88">
        <v>80</v>
      </c>
      <c r="C88">
        <f t="shared" si="21"/>
        <v>1.55E-2</v>
      </c>
      <c r="D88">
        <v>0.17399999999999999</v>
      </c>
      <c r="E88">
        <f t="shared" si="22"/>
        <v>0.2697</v>
      </c>
      <c r="F88" s="29">
        <v>499996.8</v>
      </c>
      <c r="G88">
        <f t="shared" si="23"/>
        <v>3599976.96</v>
      </c>
      <c r="H88">
        <f t="shared" si="24"/>
        <v>5142824.2285714289</v>
      </c>
      <c r="I88">
        <f t="shared" si="25"/>
        <v>42.856868571428571</v>
      </c>
      <c r="J88">
        <f t="shared" si="26"/>
        <v>173.24143137466308</v>
      </c>
      <c r="K88">
        <f t="shared" si="27"/>
        <v>890950.2306660118</v>
      </c>
      <c r="L88">
        <f t="shared" si="28"/>
        <v>2402.8927721062337</v>
      </c>
      <c r="M88" s="7">
        <v>497262.01628215</v>
      </c>
      <c r="N88">
        <f t="shared" si="29"/>
        <v>3580286.5172314802</v>
      </c>
      <c r="O88">
        <f t="shared" si="30"/>
        <v>5114695.0246164007</v>
      </c>
      <c r="P88">
        <f t="shared" si="31"/>
        <v>42.622458538470006</v>
      </c>
      <c r="Q88">
        <f t="shared" si="32"/>
        <v>173.40507611465301</v>
      </c>
      <c r="R88">
        <f t="shared" si="33"/>
        <v>886914.08004684397</v>
      </c>
      <c r="S88">
        <f t="shared" si="34"/>
        <v>2392.0072738863378</v>
      </c>
      <c r="T88" s="29">
        <v>495896.49336833</v>
      </c>
      <c r="U88">
        <f t="shared" si="17"/>
        <v>3570454.7522519762</v>
      </c>
      <c r="V88">
        <f t="shared" si="18"/>
        <v>5100649.6460742513</v>
      </c>
      <c r="W88">
        <f t="shared" si="19"/>
        <v>42.505413717285428</v>
      </c>
      <c r="X88">
        <f t="shared" si="35"/>
        <v>173.48678665019696</v>
      </c>
      <c r="Y88">
        <f t="shared" si="36"/>
        <v>884895.31692588632</v>
      </c>
      <c r="Z88">
        <f t="shared" si="37"/>
        <v>2386.5626697491152</v>
      </c>
      <c r="AA88" s="29">
        <v>495890.88537600002</v>
      </c>
      <c r="AB88">
        <f t="shared" si="20"/>
        <v>3570414.3747072001</v>
      </c>
      <c r="AC88">
        <f t="shared" si="38"/>
        <v>5100591.9638674287</v>
      </c>
      <c r="AD88">
        <f t="shared" si="39"/>
        <v>42.504933032228571</v>
      </c>
      <c r="AE88">
        <f t="shared" si="40"/>
        <v>173.48712222278382</v>
      </c>
      <c r="AF88">
        <f t="shared" si="41"/>
        <v>884887.02144401753</v>
      </c>
      <c r="AG88">
        <f t="shared" si="42"/>
        <v>2386.5402968345152</v>
      </c>
      <c r="AH88" s="29">
        <v>493837.92806399998</v>
      </c>
      <c r="AI88">
        <f t="shared" si="43"/>
        <v>3555633.0820607999</v>
      </c>
      <c r="AJ88">
        <f t="shared" si="44"/>
        <v>5079475.8315154286</v>
      </c>
      <c r="AK88">
        <f t="shared" si="45"/>
        <v>42.328965262628572</v>
      </c>
      <c r="AL88">
        <f t="shared" si="46"/>
        <v>173.60996764684421</v>
      </c>
      <c r="AM88">
        <f t="shared" si="47"/>
        <v>881847.63477232063</v>
      </c>
      <c r="AN88">
        <f t="shared" si="48"/>
        <v>2378.3430709809486</v>
      </c>
      <c r="AO88" s="29">
        <v>477494.41403548798</v>
      </c>
      <c r="AP88">
        <f t="shared" si="49"/>
        <v>3437959.7810555133</v>
      </c>
      <c r="AQ88">
        <f t="shared" si="50"/>
        <v>4911371.1157935904</v>
      </c>
      <c r="AR88">
        <f t="shared" si="51"/>
        <v>40.928092631613254</v>
      </c>
      <c r="AS88">
        <f t="shared" si="52"/>
        <v>174.58793533264736</v>
      </c>
      <c r="AT88">
        <f t="shared" si="53"/>
        <v>857466.14275880344</v>
      </c>
      <c r="AU88">
        <f t="shared" si="54"/>
        <v>2312.5861870204926</v>
      </c>
      <c r="AV88" s="29">
        <v>455024.298571739</v>
      </c>
      <c r="AW88">
        <f t="shared" si="55"/>
        <v>3276174.949716521</v>
      </c>
      <c r="AX88">
        <f t="shared" si="56"/>
        <v>4680249.9281664584</v>
      </c>
      <c r="AY88">
        <f t="shared" si="57"/>
        <v>39.002082734720489</v>
      </c>
      <c r="AZ88">
        <f t="shared" si="58"/>
        <v>175.93250827953474</v>
      </c>
      <c r="BA88">
        <f t="shared" si="59"/>
        <v>823408.10923743737</v>
      </c>
      <c r="BB88">
        <f t="shared" si="60"/>
        <v>2220.7316706133684</v>
      </c>
      <c r="BC88" s="29">
        <v>497723.17475911701</v>
      </c>
      <c r="BD88">
        <f t="shared" si="61"/>
        <v>3583606.8582656425</v>
      </c>
      <c r="BE88">
        <f t="shared" si="62"/>
        <v>5119438.3689509183</v>
      </c>
      <c r="BF88">
        <f t="shared" si="63"/>
        <v>42.661986407924317</v>
      </c>
      <c r="BG88">
        <f t="shared" si="64"/>
        <v>173.37748118692076</v>
      </c>
      <c r="BH88">
        <f t="shared" si="65"/>
        <v>887595.32950038812</v>
      </c>
      <c r="BI88">
        <f t="shared" si="66"/>
        <v>2393.8446036625464</v>
      </c>
      <c r="BJ88" s="29">
        <v>496583.23177899601</v>
      </c>
      <c r="BK88">
        <f t="shared" si="67"/>
        <v>3575399.2688087714</v>
      </c>
      <c r="BL88">
        <f t="shared" si="68"/>
        <v>5107713.2411553878</v>
      </c>
      <c r="BM88">
        <f t="shared" si="69"/>
        <v>42.564277009628235</v>
      </c>
      <c r="BN88">
        <f t="shared" si="70"/>
        <v>173.44569340837273</v>
      </c>
      <c r="BO88">
        <f t="shared" si="71"/>
        <v>885910.86484332324</v>
      </c>
      <c r="BP88">
        <f t="shared" si="72"/>
        <v>2389.3016024824424</v>
      </c>
    </row>
    <row r="89" spans="1:68" x14ac:dyDescent="0.25">
      <c r="A89">
        <v>0</v>
      </c>
      <c r="B89">
        <v>100</v>
      </c>
      <c r="C89">
        <f t="shared" si="21"/>
        <v>1.55E-2</v>
      </c>
      <c r="D89">
        <v>0.17399999999999999</v>
      </c>
      <c r="E89">
        <f t="shared" si="22"/>
        <v>0.2697</v>
      </c>
      <c r="F89" s="29">
        <v>499996.8</v>
      </c>
      <c r="G89">
        <f t="shared" si="23"/>
        <v>3599976.96</v>
      </c>
      <c r="H89">
        <f t="shared" si="24"/>
        <v>5142824.2285714289</v>
      </c>
      <c r="I89">
        <f t="shared" si="25"/>
        <v>42.856868571428571</v>
      </c>
      <c r="J89">
        <f t="shared" si="26"/>
        <v>173.24143137466308</v>
      </c>
      <c r="K89">
        <f t="shared" si="27"/>
        <v>890950.2306660118</v>
      </c>
      <c r="L89">
        <f t="shared" si="28"/>
        <v>2402.8927721062337</v>
      </c>
      <c r="M89" s="7">
        <v>497262.01628215</v>
      </c>
      <c r="N89">
        <f t="shared" si="29"/>
        <v>3580286.5172314802</v>
      </c>
      <c r="O89">
        <f t="shared" si="30"/>
        <v>5114695.0246164007</v>
      </c>
      <c r="P89">
        <f t="shared" si="31"/>
        <v>42.622458538470006</v>
      </c>
      <c r="Q89">
        <f t="shared" si="32"/>
        <v>173.40507611465301</v>
      </c>
      <c r="R89">
        <f t="shared" si="33"/>
        <v>886914.08004684397</v>
      </c>
      <c r="S89">
        <f t="shared" si="34"/>
        <v>2392.0072738863378</v>
      </c>
      <c r="T89" s="29">
        <v>495896.49336833</v>
      </c>
      <c r="U89">
        <f t="shared" si="17"/>
        <v>3570454.7522519762</v>
      </c>
      <c r="V89">
        <f t="shared" si="18"/>
        <v>5100649.6460742513</v>
      </c>
      <c r="W89">
        <f t="shared" si="19"/>
        <v>42.505413717285428</v>
      </c>
      <c r="X89">
        <f t="shared" si="35"/>
        <v>173.48678665019696</v>
      </c>
      <c r="Y89">
        <f t="shared" si="36"/>
        <v>884895.31692588632</v>
      </c>
      <c r="Z89">
        <f t="shared" si="37"/>
        <v>2386.5626697491152</v>
      </c>
      <c r="AA89" s="29">
        <v>495890.88537600002</v>
      </c>
      <c r="AB89">
        <f t="shared" si="20"/>
        <v>3570414.3747072001</v>
      </c>
      <c r="AC89">
        <f t="shared" si="38"/>
        <v>5100591.9638674287</v>
      </c>
      <c r="AD89">
        <f t="shared" si="39"/>
        <v>42.504933032228571</v>
      </c>
      <c r="AE89">
        <f t="shared" si="40"/>
        <v>173.48712222278382</v>
      </c>
      <c r="AF89">
        <f t="shared" si="41"/>
        <v>884887.02144401753</v>
      </c>
      <c r="AG89">
        <f t="shared" si="42"/>
        <v>2386.5402968345152</v>
      </c>
      <c r="AH89" s="29">
        <v>493837.92806399998</v>
      </c>
      <c r="AI89">
        <f t="shared" si="43"/>
        <v>3555633.0820607999</v>
      </c>
      <c r="AJ89">
        <f t="shared" si="44"/>
        <v>5079475.8315154286</v>
      </c>
      <c r="AK89">
        <f t="shared" si="45"/>
        <v>42.328965262628572</v>
      </c>
      <c r="AL89">
        <f t="shared" si="46"/>
        <v>173.60996764684421</v>
      </c>
      <c r="AM89">
        <f t="shared" si="47"/>
        <v>881847.63477232063</v>
      </c>
      <c r="AN89">
        <f t="shared" si="48"/>
        <v>2378.3430709809486</v>
      </c>
      <c r="AO89" s="29">
        <v>477494.41403548798</v>
      </c>
      <c r="AP89">
        <f t="shared" si="49"/>
        <v>3437959.7810555133</v>
      </c>
      <c r="AQ89">
        <f t="shared" si="50"/>
        <v>4911371.1157935904</v>
      </c>
      <c r="AR89">
        <f t="shared" si="51"/>
        <v>40.928092631613254</v>
      </c>
      <c r="AS89">
        <f t="shared" si="52"/>
        <v>174.58793533264736</v>
      </c>
      <c r="AT89">
        <f t="shared" si="53"/>
        <v>857466.14275880344</v>
      </c>
      <c r="AU89">
        <f t="shared" si="54"/>
        <v>2312.5861870204926</v>
      </c>
      <c r="AV89" s="29">
        <v>455024.298571739</v>
      </c>
      <c r="AW89">
        <f t="shared" si="55"/>
        <v>3276174.949716521</v>
      </c>
      <c r="AX89">
        <f t="shared" si="56"/>
        <v>4680249.9281664584</v>
      </c>
      <c r="AY89">
        <f t="shared" si="57"/>
        <v>39.002082734720489</v>
      </c>
      <c r="AZ89">
        <f t="shared" si="58"/>
        <v>175.93250827953474</v>
      </c>
      <c r="BA89">
        <f t="shared" si="59"/>
        <v>823408.10923743737</v>
      </c>
      <c r="BB89">
        <f t="shared" si="60"/>
        <v>2220.7316706133684</v>
      </c>
      <c r="BC89" s="29">
        <v>497723.17475911701</v>
      </c>
      <c r="BD89">
        <f t="shared" si="61"/>
        <v>3583606.8582656425</v>
      </c>
      <c r="BE89">
        <f t="shared" si="62"/>
        <v>5119438.3689509183</v>
      </c>
      <c r="BF89">
        <f t="shared" si="63"/>
        <v>42.661986407924317</v>
      </c>
      <c r="BG89">
        <f t="shared" si="64"/>
        <v>173.37748118692076</v>
      </c>
      <c r="BH89">
        <f t="shared" si="65"/>
        <v>887595.32950038812</v>
      </c>
      <c r="BI89">
        <f t="shared" si="66"/>
        <v>2393.8446036625464</v>
      </c>
      <c r="BJ89" s="29">
        <v>496583.23177899601</v>
      </c>
      <c r="BK89">
        <f t="shared" si="67"/>
        <v>3575399.2688087714</v>
      </c>
      <c r="BL89">
        <f t="shared" si="68"/>
        <v>5107713.2411553878</v>
      </c>
      <c r="BM89">
        <f t="shared" si="69"/>
        <v>42.564277009628235</v>
      </c>
      <c r="BN89">
        <f t="shared" si="70"/>
        <v>173.44569340837273</v>
      </c>
      <c r="BO89">
        <f t="shared" si="71"/>
        <v>885910.86484332324</v>
      </c>
      <c r="BP89">
        <f t="shared" si="72"/>
        <v>2389.3016024824424</v>
      </c>
    </row>
    <row r="90" spans="1:68" x14ac:dyDescent="0.25">
      <c r="A90">
        <v>0</v>
      </c>
      <c r="B90">
        <v>120</v>
      </c>
      <c r="C90">
        <f t="shared" si="21"/>
        <v>1.55E-2</v>
      </c>
      <c r="D90">
        <v>0.153</v>
      </c>
      <c r="E90">
        <f t="shared" si="22"/>
        <v>0.23715</v>
      </c>
      <c r="F90" s="29">
        <v>499996.8</v>
      </c>
      <c r="G90">
        <f t="shared" si="23"/>
        <v>3599976.96</v>
      </c>
      <c r="H90">
        <f t="shared" si="24"/>
        <v>5142824.2285714289</v>
      </c>
      <c r="I90">
        <f t="shared" si="25"/>
        <v>42.856868571428571</v>
      </c>
      <c r="J90">
        <f t="shared" si="26"/>
        <v>173.24143137466308</v>
      </c>
      <c r="K90">
        <f t="shared" si="27"/>
        <v>890950.2306660118</v>
      </c>
      <c r="L90">
        <f t="shared" si="28"/>
        <v>2112.8884720244469</v>
      </c>
      <c r="M90" s="7">
        <v>497262.01628215</v>
      </c>
      <c r="N90">
        <f t="shared" si="29"/>
        <v>3580286.5172314802</v>
      </c>
      <c r="O90">
        <f t="shared" si="30"/>
        <v>5114695.0246164007</v>
      </c>
      <c r="P90">
        <f t="shared" si="31"/>
        <v>42.622458538470006</v>
      </c>
      <c r="Q90">
        <f t="shared" si="32"/>
        <v>173.40507611465301</v>
      </c>
      <c r="R90">
        <f t="shared" si="33"/>
        <v>886914.08004684397</v>
      </c>
      <c r="S90">
        <f t="shared" si="34"/>
        <v>2103.3167408310906</v>
      </c>
      <c r="T90" s="29">
        <v>495896.49336833</v>
      </c>
      <c r="U90">
        <f t="shared" si="17"/>
        <v>3570454.7522519762</v>
      </c>
      <c r="V90">
        <f t="shared" si="18"/>
        <v>5100649.6460742513</v>
      </c>
      <c r="W90">
        <f t="shared" si="19"/>
        <v>42.505413717285428</v>
      </c>
      <c r="X90">
        <f t="shared" si="35"/>
        <v>173.48678665019696</v>
      </c>
      <c r="Y90">
        <f t="shared" si="36"/>
        <v>884895.31692588632</v>
      </c>
      <c r="Z90">
        <f t="shared" si="37"/>
        <v>2098.5292440897392</v>
      </c>
      <c r="AA90" s="29">
        <v>495890.88537600002</v>
      </c>
      <c r="AB90">
        <f t="shared" si="20"/>
        <v>3570414.3747072001</v>
      </c>
      <c r="AC90">
        <f t="shared" si="38"/>
        <v>5100591.9638674287</v>
      </c>
      <c r="AD90">
        <f t="shared" si="39"/>
        <v>42.504933032228571</v>
      </c>
      <c r="AE90">
        <f t="shared" si="40"/>
        <v>173.48712222278382</v>
      </c>
      <c r="AF90">
        <f t="shared" si="41"/>
        <v>884887.02144401753</v>
      </c>
      <c r="AG90">
        <f t="shared" si="42"/>
        <v>2098.5095713544874</v>
      </c>
      <c r="AH90" s="29">
        <v>493837.92806399998</v>
      </c>
      <c r="AI90">
        <f t="shared" si="43"/>
        <v>3555633.0820607999</v>
      </c>
      <c r="AJ90">
        <f t="shared" si="44"/>
        <v>5079475.8315154286</v>
      </c>
      <c r="AK90">
        <f t="shared" si="45"/>
        <v>42.328965262628572</v>
      </c>
      <c r="AL90">
        <f t="shared" si="46"/>
        <v>173.60996764684421</v>
      </c>
      <c r="AM90">
        <f t="shared" si="47"/>
        <v>881847.63477232063</v>
      </c>
      <c r="AN90">
        <f t="shared" si="48"/>
        <v>2091.3016658625584</v>
      </c>
      <c r="AO90" s="29">
        <v>477494.41403548798</v>
      </c>
      <c r="AP90">
        <f t="shared" si="49"/>
        <v>3437959.7810555133</v>
      </c>
      <c r="AQ90">
        <f t="shared" si="50"/>
        <v>4911371.1157935904</v>
      </c>
      <c r="AR90">
        <f t="shared" si="51"/>
        <v>40.928092631613254</v>
      </c>
      <c r="AS90">
        <f t="shared" si="52"/>
        <v>174.58793533264736</v>
      </c>
      <c r="AT90">
        <f t="shared" si="53"/>
        <v>857466.14275880344</v>
      </c>
      <c r="AU90">
        <f t="shared" si="54"/>
        <v>2033.4809575525023</v>
      </c>
      <c r="AV90" s="29">
        <v>455024.298571739</v>
      </c>
      <c r="AW90">
        <f t="shared" si="55"/>
        <v>3276174.949716521</v>
      </c>
      <c r="AX90">
        <f t="shared" si="56"/>
        <v>4680249.9281664584</v>
      </c>
      <c r="AY90">
        <f t="shared" si="57"/>
        <v>39.002082734720489</v>
      </c>
      <c r="AZ90">
        <f t="shared" si="58"/>
        <v>175.93250827953474</v>
      </c>
      <c r="BA90">
        <f t="shared" si="59"/>
        <v>823408.10923743737</v>
      </c>
      <c r="BB90">
        <f t="shared" si="60"/>
        <v>1952.7123310565826</v>
      </c>
      <c r="BC90" s="29">
        <v>497723.17475911701</v>
      </c>
      <c r="BD90">
        <f t="shared" si="61"/>
        <v>3583606.8582656425</v>
      </c>
      <c r="BE90">
        <f t="shared" si="62"/>
        <v>5119438.3689509183</v>
      </c>
      <c r="BF90">
        <f t="shared" si="63"/>
        <v>42.661986407924317</v>
      </c>
      <c r="BG90">
        <f t="shared" si="64"/>
        <v>173.37748118692076</v>
      </c>
      <c r="BH90">
        <f t="shared" si="65"/>
        <v>887595.32950038812</v>
      </c>
      <c r="BI90">
        <f t="shared" si="66"/>
        <v>2104.9323239101705</v>
      </c>
      <c r="BJ90" s="29">
        <v>496583.23177899601</v>
      </c>
      <c r="BK90">
        <f t="shared" si="67"/>
        <v>3575399.2688087714</v>
      </c>
      <c r="BL90">
        <f t="shared" si="68"/>
        <v>5107713.2411553878</v>
      </c>
      <c r="BM90">
        <f t="shared" si="69"/>
        <v>42.564277009628235</v>
      </c>
      <c r="BN90">
        <f t="shared" si="70"/>
        <v>173.44569340837273</v>
      </c>
      <c r="BO90">
        <f t="shared" si="71"/>
        <v>885910.86484332324</v>
      </c>
      <c r="BP90">
        <f t="shared" si="72"/>
        <v>2100.9376159759408</v>
      </c>
    </row>
    <row r="91" spans="1:68" x14ac:dyDescent="0.25">
      <c r="A91">
        <v>0</v>
      </c>
      <c r="B91">
        <v>140</v>
      </c>
      <c r="C91">
        <f t="shared" si="21"/>
        <v>1.55E-2</v>
      </c>
      <c r="D91">
        <v>0.113</v>
      </c>
      <c r="E91">
        <f t="shared" si="22"/>
        <v>0.17515</v>
      </c>
      <c r="F91" s="29">
        <v>499996.8</v>
      </c>
      <c r="G91">
        <f t="shared" si="23"/>
        <v>3599976.96</v>
      </c>
      <c r="H91">
        <f t="shared" si="24"/>
        <v>5142824.2285714289</v>
      </c>
      <c r="I91">
        <f t="shared" si="25"/>
        <v>42.856868571428571</v>
      </c>
      <c r="J91">
        <f t="shared" si="26"/>
        <v>173.24143137466308</v>
      </c>
      <c r="K91">
        <f t="shared" si="27"/>
        <v>890950.2306660118</v>
      </c>
      <c r="L91">
        <f t="shared" si="28"/>
        <v>1560.4993290115196</v>
      </c>
      <c r="M91" s="7">
        <v>497262.01628215</v>
      </c>
      <c r="N91">
        <f t="shared" si="29"/>
        <v>3580286.5172314802</v>
      </c>
      <c r="O91">
        <f t="shared" si="30"/>
        <v>5114695.0246164007</v>
      </c>
      <c r="P91">
        <f t="shared" si="31"/>
        <v>42.622458538470006</v>
      </c>
      <c r="Q91">
        <f t="shared" si="32"/>
        <v>173.40507611465301</v>
      </c>
      <c r="R91">
        <f t="shared" si="33"/>
        <v>886914.08004684397</v>
      </c>
      <c r="S91">
        <f t="shared" si="34"/>
        <v>1553.4300112020471</v>
      </c>
      <c r="T91" s="29">
        <v>495896.49336833</v>
      </c>
      <c r="U91">
        <f t="shared" si="17"/>
        <v>3570454.7522519762</v>
      </c>
      <c r="V91">
        <f t="shared" si="18"/>
        <v>5100649.6460742513</v>
      </c>
      <c r="W91">
        <f t="shared" si="19"/>
        <v>42.505413717285428</v>
      </c>
      <c r="X91">
        <f t="shared" si="35"/>
        <v>173.48678665019696</v>
      </c>
      <c r="Y91">
        <f t="shared" si="36"/>
        <v>884895.31692588632</v>
      </c>
      <c r="Z91">
        <f t="shared" si="37"/>
        <v>1549.8941475956899</v>
      </c>
      <c r="AA91" s="29">
        <v>495890.88537600002</v>
      </c>
      <c r="AB91">
        <f t="shared" si="20"/>
        <v>3570414.3747072001</v>
      </c>
      <c r="AC91">
        <f t="shared" si="38"/>
        <v>5100591.9638674287</v>
      </c>
      <c r="AD91">
        <f t="shared" si="39"/>
        <v>42.504933032228571</v>
      </c>
      <c r="AE91">
        <f t="shared" si="40"/>
        <v>173.48712222278382</v>
      </c>
      <c r="AF91">
        <f t="shared" si="41"/>
        <v>884887.02144401753</v>
      </c>
      <c r="AG91">
        <f t="shared" si="42"/>
        <v>1549.8796180591967</v>
      </c>
      <c r="AH91" s="29">
        <v>493837.92806399998</v>
      </c>
      <c r="AI91">
        <f t="shared" si="43"/>
        <v>3555633.0820607999</v>
      </c>
      <c r="AJ91">
        <f t="shared" si="44"/>
        <v>5079475.8315154286</v>
      </c>
      <c r="AK91">
        <f t="shared" si="45"/>
        <v>42.328965262628572</v>
      </c>
      <c r="AL91">
        <f t="shared" si="46"/>
        <v>173.60996764684421</v>
      </c>
      <c r="AM91">
        <f t="shared" si="47"/>
        <v>881847.63477232063</v>
      </c>
      <c r="AN91">
        <f t="shared" si="48"/>
        <v>1544.5561323037196</v>
      </c>
      <c r="AO91" s="29">
        <v>477494.41403548798</v>
      </c>
      <c r="AP91">
        <f t="shared" si="49"/>
        <v>3437959.7810555133</v>
      </c>
      <c r="AQ91">
        <f t="shared" si="50"/>
        <v>4911371.1157935904</v>
      </c>
      <c r="AR91">
        <f t="shared" si="51"/>
        <v>40.928092631613254</v>
      </c>
      <c r="AS91">
        <f t="shared" si="52"/>
        <v>174.58793533264736</v>
      </c>
      <c r="AT91">
        <f t="shared" si="53"/>
        <v>857466.14275880344</v>
      </c>
      <c r="AU91">
        <f t="shared" si="54"/>
        <v>1501.8519490420442</v>
      </c>
      <c r="AV91" s="29">
        <v>455024.298571739</v>
      </c>
      <c r="AW91">
        <f t="shared" si="55"/>
        <v>3276174.949716521</v>
      </c>
      <c r="AX91">
        <f t="shared" si="56"/>
        <v>4680249.9281664584</v>
      </c>
      <c r="AY91">
        <f t="shared" si="57"/>
        <v>39.002082734720489</v>
      </c>
      <c r="AZ91">
        <f t="shared" si="58"/>
        <v>175.93250827953474</v>
      </c>
      <c r="BA91">
        <f t="shared" si="59"/>
        <v>823408.10923743737</v>
      </c>
      <c r="BB91">
        <f t="shared" si="60"/>
        <v>1442.1993033293716</v>
      </c>
      <c r="BC91" s="29">
        <v>497723.17475911701</v>
      </c>
      <c r="BD91">
        <f t="shared" si="61"/>
        <v>3583606.8582656425</v>
      </c>
      <c r="BE91">
        <f t="shared" si="62"/>
        <v>5119438.3689509183</v>
      </c>
      <c r="BF91">
        <f t="shared" si="63"/>
        <v>42.661986407924317</v>
      </c>
      <c r="BG91">
        <f t="shared" si="64"/>
        <v>173.37748118692076</v>
      </c>
      <c r="BH91">
        <f t="shared" si="65"/>
        <v>887595.32950038812</v>
      </c>
      <c r="BI91">
        <f t="shared" si="66"/>
        <v>1554.6232196199298</v>
      </c>
      <c r="BJ91" s="29">
        <v>496583.23177899601</v>
      </c>
      <c r="BK91">
        <f t="shared" si="67"/>
        <v>3575399.2688087714</v>
      </c>
      <c r="BL91">
        <f t="shared" si="68"/>
        <v>5107713.2411553878</v>
      </c>
      <c r="BM91">
        <f t="shared" si="69"/>
        <v>42.564277009628235</v>
      </c>
      <c r="BN91">
        <f t="shared" si="70"/>
        <v>173.44569340837273</v>
      </c>
      <c r="BO91">
        <f t="shared" si="71"/>
        <v>885910.86484332324</v>
      </c>
      <c r="BP91">
        <f t="shared" si="72"/>
        <v>1551.6728797730807</v>
      </c>
    </row>
    <row r="92" spans="1:68" x14ac:dyDescent="0.25">
      <c r="A92">
        <v>0</v>
      </c>
      <c r="B92">
        <v>160</v>
      </c>
      <c r="C92">
        <f t="shared" si="21"/>
        <v>1.55E-2</v>
      </c>
      <c r="D92">
        <v>0.06</v>
      </c>
      <c r="E92">
        <f t="shared" si="22"/>
        <v>9.2999999999999999E-2</v>
      </c>
      <c r="F92" s="29">
        <v>499996.8</v>
      </c>
      <c r="G92">
        <f t="shared" si="23"/>
        <v>3599976.96</v>
      </c>
      <c r="H92">
        <f t="shared" si="24"/>
        <v>5142824.2285714289</v>
      </c>
      <c r="I92">
        <f t="shared" si="25"/>
        <v>42.856868571428571</v>
      </c>
      <c r="J92">
        <f t="shared" si="26"/>
        <v>173.24143137466308</v>
      </c>
      <c r="K92">
        <f t="shared" si="27"/>
        <v>890950.2306660118</v>
      </c>
      <c r="L92">
        <f t="shared" si="28"/>
        <v>828.58371451939092</v>
      </c>
      <c r="M92" s="7">
        <v>497262.01628215</v>
      </c>
      <c r="N92">
        <f t="shared" si="29"/>
        <v>3580286.5172314802</v>
      </c>
      <c r="O92">
        <f t="shared" si="30"/>
        <v>5114695.0246164007</v>
      </c>
      <c r="P92">
        <f t="shared" si="31"/>
        <v>42.622458538470006</v>
      </c>
      <c r="Q92">
        <f t="shared" si="32"/>
        <v>173.40507611465301</v>
      </c>
      <c r="R92">
        <f t="shared" si="33"/>
        <v>886914.08004684397</v>
      </c>
      <c r="S92">
        <f t="shared" si="34"/>
        <v>824.8300944435648</v>
      </c>
      <c r="T92" s="29">
        <v>495896.49336833</v>
      </c>
      <c r="U92">
        <f t="shared" si="17"/>
        <v>3570454.7522519762</v>
      </c>
      <c r="V92">
        <f t="shared" si="18"/>
        <v>5100649.6460742513</v>
      </c>
      <c r="W92">
        <f t="shared" si="19"/>
        <v>42.505413717285428</v>
      </c>
      <c r="X92">
        <f t="shared" si="35"/>
        <v>173.48678665019696</v>
      </c>
      <c r="Y92">
        <f t="shared" si="36"/>
        <v>884895.31692588632</v>
      </c>
      <c r="Z92">
        <f t="shared" si="37"/>
        <v>822.95264474107421</v>
      </c>
      <c r="AA92" s="29">
        <v>495890.88537600002</v>
      </c>
      <c r="AB92">
        <f t="shared" si="20"/>
        <v>3570414.3747072001</v>
      </c>
      <c r="AC92">
        <f t="shared" si="38"/>
        <v>5100591.9638674287</v>
      </c>
      <c r="AD92">
        <f t="shared" si="39"/>
        <v>42.504933032228571</v>
      </c>
      <c r="AE92">
        <f t="shared" si="40"/>
        <v>173.48712222278382</v>
      </c>
      <c r="AF92">
        <f t="shared" si="41"/>
        <v>884887.02144401753</v>
      </c>
      <c r="AG92">
        <f t="shared" si="42"/>
        <v>822.94492994293626</v>
      </c>
      <c r="AH92" s="29">
        <v>493837.92806399998</v>
      </c>
      <c r="AI92">
        <f t="shared" si="43"/>
        <v>3555633.0820607999</v>
      </c>
      <c r="AJ92">
        <f t="shared" si="44"/>
        <v>5079475.8315154286</v>
      </c>
      <c r="AK92">
        <f t="shared" si="45"/>
        <v>42.328965262628572</v>
      </c>
      <c r="AL92">
        <f t="shared" si="46"/>
        <v>173.60996764684421</v>
      </c>
      <c r="AM92">
        <f t="shared" si="47"/>
        <v>881847.63477232063</v>
      </c>
      <c r="AN92">
        <f t="shared" si="48"/>
        <v>820.11830033825811</v>
      </c>
      <c r="AO92" s="29">
        <v>477494.41403548798</v>
      </c>
      <c r="AP92">
        <f t="shared" si="49"/>
        <v>3437959.7810555133</v>
      </c>
      <c r="AQ92">
        <f t="shared" si="50"/>
        <v>4911371.1157935904</v>
      </c>
      <c r="AR92">
        <f t="shared" si="51"/>
        <v>40.928092631613254</v>
      </c>
      <c r="AS92">
        <f t="shared" si="52"/>
        <v>174.58793533264736</v>
      </c>
      <c r="AT92">
        <f t="shared" si="53"/>
        <v>857466.14275880344</v>
      </c>
      <c r="AU92">
        <f t="shared" si="54"/>
        <v>797.44351276568716</v>
      </c>
      <c r="AV92" s="29">
        <v>455024.298571739</v>
      </c>
      <c r="AW92">
        <f t="shared" si="55"/>
        <v>3276174.949716521</v>
      </c>
      <c r="AX92">
        <f t="shared" si="56"/>
        <v>4680249.9281664584</v>
      </c>
      <c r="AY92">
        <f t="shared" si="57"/>
        <v>39.002082734720489</v>
      </c>
      <c r="AZ92">
        <f t="shared" si="58"/>
        <v>175.93250827953474</v>
      </c>
      <c r="BA92">
        <f t="shared" si="59"/>
        <v>823408.10923743737</v>
      </c>
      <c r="BB92">
        <f t="shared" si="60"/>
        <v>765.76954159081674</v>
      </c>
      <c r="BC92" s="29">
        <v>497723.17475911701</v>
      </c>
      <c r="BD92">
        <f t="shared" si="61"/>
        <v>3583606.8582656425</v>
      </c>
      <c r="BE92">
        <f t="shared" si="62"/>
        <v>5119438.3689509183</v>
      </c>
      <c r="BF92">
        <f t="shared" si="63"/>
        <v>42.661986407924317</v>
      </c>
      <c r="BG92">
        <f t="shared" si="64"/>
        <v>173.37748118692076</v>
      </c>
      <c r="BH92">
        <f t="shared" si="65"/>
        <v>887595.32950038812</v>
      </c>
      <c r="BI92">
        <f t="shared" si="66"/>
        <v>825.46365643536092</v>
      </c>
      <c r="BJ92" s="29">
        <v>496583.23177899601</v>
      </c>
      <c r="BK92">
        <f t="shared" si="67"/>
        <v>3575399.2688087714</v>
      </c>
      <c r="BL92">
        <f t="shared" si="68"/>
        <v>5107713.2411553878</v>
      </c>
      <c r="BM92">
        <f t="shared" si="69"/>
        <v>42.564277009628235</v>
      </c>
      <c r="BN92">
        <f t="shared" si="70"/>
        <v>173.44569340837273</v>
      </c>
      <c r="BO92">
        <f t="shared" si="71"/>
        <v>885910.86484332324</v>
      </c>
      <c r="BP92">
        <f t="shared" si="72"/>
        <v>823.89710430429056</v>
      </c>
    </row>
    <row r="93" spans="1:68" x14ac:dyDescent="0.25">
      <c r="A93">
        <v>0</v>
      </c>
      <c r="B93">
        <v>180</v>
      </c>
      <c r="C93">
        <f t="shared" si="21"/>
        <v>1.55E-2</v>
      </c>
      <c r="D93">
        <v>0</v>
      </c>
      <c r="E93">
        <f t="shared" si="22"/>
        <v>0</v>
      </c>
      <c r="F93" s="29">
        <v>499996.8</v>
      </c>
      <c r="G93">
        <f t="shared" si="23"/>
        <v>3599976.96</v>
      </c>
      <c r="H93">
        <f t="shared" si="24"/>
        <v>5142824.2285714289</v>
      </c>
      <c r="I93">
        <f t="shared" si="25"/>
        <v>42.856868571428571</v>
      </c>
      <c r="J93">
        <f t="shared" si="26"/>
        <v>173.24143137466308</v>
      </c>
      <c r="K93">
        <f t="shared" si="27"/>
        <v>890950.2306660118</v>
      </c>
      <c r="L93">
        <f t="shared" si="28"/>
        <v>0</v>
      </c>
      <c r="M93" s="7">
        <v>497262.01628215</v>
      </c>
      <c r="N93">
        <f t="shared" si="29"/>
        <v>3580286.5172314802</v>
      </c>
      <c r="O93">
        <f t="shared" si="30"/>
        <v>5114695.0246164007</v>
      </c>
      <c r="P93">
        <f t="shared" si="31"/>
        <v>42.622458538470006</v>
      </c>
      <c r="Q93">
        <f t="shared" si="32"/>
        <v>173.40507611465301</v>
      </c>
      <c r="R93">
        <f t="shared" si="33"/>
        <v>886914.08004684397</v>
      </c>
      <c r="S93">
        <f t="shared" si="34"/>
        <v>0</v>
      </c>
      <c r="T93" s="29">
        <v>495896.49336833</v>
      </c>
      <c r="U93">
        <f t="shared" si="17"/>
        <v>3570454.7522519762</v>
      </c>
      <c r="V93">
        <f t="shared" si="18"/>
        <v>5100649.6460742513</v>
      </c>
      <c r="W93">
        <f t="shared" si="19"/>
        <v>42.505413717285428</v>
      </c>
      <c r="X93">
        <f t="shared" si="35"/>
        <v>173.48678665019696</v>
      </c>
      <c r="Y93">
        <f t="shared" si="36"/>
        <v>884895.31692588632</v>
      </c>
      <c r="Z93">
        <f t="shared" si="37"/>
        <v>0</v>
      </c>
      <c r="AA93" s="29">
        <v>495890.88537600002</v>
      </c>
      <c r="AB93">
        <f t="shared" si="20"/>
        <v>3570414.3747072001</v>
      </c>
      <c r="AC93">
        <f t="shared" si="38"/>
        <v>5100591.9638674287</v>
      </c>
      <c r="AD93">
        <f t="shared" si="39"/>
        <v>42.504933032228571</v>
      </c>
      <c r="AE93">
        <f t="shared" si="40"/>
        <v>173.48712222278382</v>
      </c>
      <c r="AF93">
        <f t="shared" si="41"/>
        <v>884887.02144401753</v>
      </c>
      <c r="AG93">
        <f t="shared" si="42"/>
        <v>0</v>
      </c>
      <c r="AH93" s="29">
        <v>493837.92806399998</v>
      </c>
      <c r="AI93">
        <f t="shared" si="43"/>
        <v>3555633.0820607999</v>
      </c>
      <c r="AJ93">
        <f t="shared" si="44"/>
        <v>5079475.8315154286</v>
      </c>
      <c r="AK93">
        <f t="shared" si="45"/>
        <v>42.328965262628572</v>
      </c>
      <c r="AL93">
        <f t="shared" si="46"/>
        <v>173.60996764684421</v>
      </c>
      <c r="AM93">
        <f t="shared" si="47"/>
        <v>881847.63477232063</v>
      </c>
      <c r="AN93">
        <f t="shared" si="48"/>
        <v>0</v>
      </c>
      <c r="AO93" s="29">
        <v>477494.41403548798</v>
      </c>
      <c r="AP93">
        <f t="shared" si="49"/>
        <v>3437959.7810555133</v>
      </c>
      <c r="AQ93">
        <f t="shared" si="50"/>
        <v>4911371.1157935904</v>
      </c>
      <c r="AR93">
        <f t="shared" si="51"/>
        <v>40.928092631613254</v>
      </c>
      <c r="AS93">
        <f t="shared" si="52"/>
        <v>174.58793533264736</v>
      </c>
      <c r="AT93">
        <f t="shared" si="53"/>
        <v>857466.14275880344</v>
      </c>
      <c r="AU93">
        <f t="shared" si="54"/>
        <v>0</v>
      </c>
      <c r="AV93" s="29">
        <v>455024.298571739</v>
      </c>
      <c r="AW93">
        <f t="shared" si="55"/>
        <v>3276174.949716521</v>
      </c>
      <c r="AX93">
        <f t="shared" si="56"/>
        <v>4680249.9281664584</v>
      </c>
      <c r="AY93">
        <f t="shared" si="57"/>
        <v>39.002082734720489</v>
      </c>
      <c r="AZ93">
        <f t="shared" si="58"/>
        <v>175.93250827953474</v>
      </c>
      <c r="BA93">
        <f t="shared" si="59"/>
        <v>823408.10923743737</v>
      </c>
      <c r="BB93">
        <f t="shared" si="60"/>
        <v>0</v>
      </c>
      <c r="BC93" s="29">
        <v>497723.17475911701</v>
      </c>
      <c r="BD93">
        <f t="shared" si="61"/>
        <v>3583606.8582656425</v>
      </c>
      <c r="BE93">
        <f t="shared" si="62"/>
        <v>5119438.3689509183</v>
      </c>
      <c r="BF93">
        <f t="shared" si="63"/>
        <v>42.661986407924317</v>
      </c>
      <c r="BG93">
        <f t="shared" si="64"/>
        <v>173.37748118692076</v>
      </c>
      <c r="BH93">
        <f t="shared" si="65"/>
        <v>887595.32950038812</v>
      </c>
      <c r="BI93">
        <f t="shared" si="66"/>
        <v>0</v>
      </c>
      <c r="BJ93" s="29">
        <v>496583.23177899601</v>
      </c>
      <c r="BK93">
        <f t="shared" si="67"/>
        <v>3575399.2688087714</v>
      </c>
      <c r="BL93">
        <f t="shared" si="68"/>
        <v>5107713.2411553878</v>
      </c>
      <c r="BM93">
        <f t="shared" si="69"/>
        <v>42.564277009628235</v>
      </c>
      <c r="BN93">
        <f t="shared" si="70"/>
        <v>173.44569340837273</v>
      </c>
      <c r="BO93">
        <f t="shared" si="71"/>
        <v>885910.86484332324</v>
      </c>
      <c r="BP93">
        <f t="shared" si="72"/>
        <v>0</v>
      </c>
    </row>
    <row r="94" spans="1:68" x14ac:dyDescent="0.25">
      <c r="A94">
        <v>2</v>
      </c>
      <c r="B94">
        <v>0</v>
      </c>
      <c r="C94">
        <f>$AB$3</f>
        <v>0.1157</v>
      </c>
      <c r="D94" cm="1">
        <f t="array" ref="D94:D103">$AD$2:$AD$11</f>
        <v>0</v>
      </c>
      <c r="E94">
        <f t="shared" si="22"/>
        <v>0</v>
      </c>
      <c r="F94" s="29">
        <v>499996.8</v>
      </c>
      <c r="G94">
        <f t="shared" si="23"/>
        <v>3599976.96</v>
      </c>
      <c r="H94">
        <f t="shared" si="24"/>
        <v>5142824.2285714289</v>
      </c>
      <c r="I94">
        <f t="shared" si="25"/>
        <v>42.856868571428571</v>
      </c>
      <c r="J94">
        <f t="shared" si="26"/>
        <v>173.24143137466308</v>
      </c>
      <c r="K94">
        <f t="shared" si="27"/>
        <v>890950.2306660118</v>
      </c>
      <c r="L94">
        <f t="shared" si="28"/>
        <v>0</v>
      </c>
      <c r="M94" s="7">
        <v>498569.96219378698</v>
      </c>
      <c r="N94">
        <f t="shared" si="29"/>
        <v>3589703.7277952665</v>
      </c>
      <c r="O94">
        <f t="shared" si="30"/>
        <v>5128148.1825646665</v>
      </c>
      <c r="P94">
        <f t="shared" si="31"/>
        <v>42.734568188038885</v>
      </c>
      <c r="Q94">
        <f t="shared" si="32"/>
        <v>173.32681088759549</v>
      </c>
      <c r="R94">
        <f t="shared" si="33"/>
        <v>888845.57024295244</v>
      </c>
      <c r="S94">
        <f t="shared" si="34"/>
        <v>0</v>
      </c>
      <c r="T94" s="29">
        <v>497857.24745063402</v>
      </c>
      <c r="U94">
        <f t="shared" si="17"/>
        <v>3584572.181644565</v>
      </c>
      <c r="V94">
        <f t="shared" si="18"/>
        <v>5120817.402349378</v>
      </c>
      <c r="W94">
        <f t="shared" si="19"/>
        <v>42.673478352911481</v>
      </c>
      <c r="X94">
        <f t="shared" si="35"/>
        <v>173.36945850834482</v>
      </c>
      <c r="Y94">
        <f t="shared" si="36"/>
        <v>887793.34016542055</v>
      </c>
      <c r="Z94">
        <f t="shared" si="37"/>
        <v>0</v>
      </c>
      <c r="AA94" s="29">
        <v>497855.13465600001</v>
      </c>
      <c r="AB94">
        <f t="shared" si="20"/>
        <v>3584556.9695232003</v>
      </c>
      <c r="AC94">
        <f t="shared" si="38"/>
        <v>5120795.6707474291</v>
      </c>
      <c r="AD94">
        <f t="shared" si="39"/>
        <v>42.673297256228579</v>
      </c>
      <c r="AE94">
        <f t="shared" si="40"/>
        <v>173.36958493433099</v>
      </c>
      <c r="AF94">
        <f t="shared" si="41"/>
        <v>887790.2199710008</v>
      </c>
      <c r="AG94">
        <f t="shared" si="42"/>
        <v>0</v>
      </c>
      <c r="AH94" s="29">
        <v>496784.30198400002</v>
      </c>
      <c r="AI94">
        <f t="shared" si="43"/>
        <v>3576846.9742848002</v>
      </c>
      <c r="AJ94">
        <f t="shared" si="44"/>
        <v>5109781.3918354288</v>
      </c>
      <c r="AK94">
        <f t="shared" si="45"/>
        <v>42.581511598628573</v>
      </c>
      <c r="AL94">
        <f t="shared" si="46"/>
        <v>173.43366171416497</v>
      </c>
      <c r="AM94">
        <f t="shared" si="47"/>
        <v>886208.09734492074</v>
      </c>
      <c r="AN94">
        <f t="shared" si="48"/>
        <v>0</v>
      </c>
      <c r="AO94" s="29">
        <v>488257.106778224</v>
      </c>
      <c r="AP94">
        <f t="shared" si="49"/>
        <v>3515451.1688032127</v>
      </c>
      <c r="AQ94">
        <f t="shared" si="50"/>
        <v>5022073.0982903037</v>
      </c>
      <c r="AR94">
        <f t="shared" si="51"/>
        <v>41.850609152419203</v>
      </c>
      <c r="AS94">
        <f t="shared" si="52"/>
        <v>173.94391436529224</v>
      </c>
      <c r="AT94">
        <f t="shared" si="53"/>
        <v>873559.05294524645</v>
      </c>
      <c r="AU94">
        <f t="shared" si="54"/>
        <v>0</v>
      </c>
      <c r="AV94" s="29">
        <v>476529.56944277702</v>
      </c>
      <c r="AW94">
        <f t="shared" si="55"/>
        <v>3431012.8999879947</v>
      </c>
      <c r="AX94">
        <f t="shared" si="56"/>
        <v>4901446.9999828488</v>
      </c>
      <c r="AY94">
        <f t="shared" si="57"/>
        <v>40.845391666523739</v>
      </c>
      <c r="AZ94">
        <f t="shared" si="58"/>
        <v>174.64566996865324</v>
      </c>
      <c r="BA94">
        <f t="shared" si="59"/>
        <v>856016.49512785021</v>
      </c>
      <c r="BB94">
        <f t="shared" si="60"/>
        <v>0</v>
      </c>
      <c r="BC94" s="29">
        <v>498810.56355397298</v>
      </c>
      <c r="BD94">
        <f t="shared" si="61"/>
        <v>3591436.0575886057</v>
      </c>
      <c r="BE94">
        <f t="shared" si="62"/>
        <v>5130622.939412294</v>
      </c>
      <c r="BF94">
        <f t="shared" si="63"/>
        <v>42.755191161769119</v>
      </c>
      <c r="BG94">
        <f t="shared" si="64"/>
        <v>173.31241371725551</v>
      </c>
      <c r="BH94">
        <f t="shared" si="65"/>
        <v>889200.64550266508</v>
      </c>
      <c r="BI94">
        <f t="shared" si="66"/>
        <v>0</v>
      </c>
      <c r="BJ94" s="29">
        <v>498216.26595879701</v>
      </c>
      <c r="BK94">
        <f t="shared" si="67"/>
        <v>3587157.1149033387</v>
      </c>
      <c r="BL94">
        <f t="shared" si="68"/>
        <v>5124510.1641476266</v>
      </c>
      <c r="BM94">
        <f t="shared" si="69"/>
        <v>42.704251367896887</v>
      </c>
      <c r="BN94">
        <f t="shared" si="70"/>
        <v>173.34797546014747</v>
      </c>
      <c r="BO94">
        <f t="shared" si="71"/>
        <v>888323.46217993903</v>
      </c>
      <c r="BP94">
        <f t="shared" si="72"/>
        <v>0</v>
      </c>
    </row>
    <row r="95" spans="1:68" x14ac:dyDescent="0.25">
      <c r="A95">
        <v>2</v>
      </c>
      <c r="B95">
        <v>20</v>
      </c>
      <c r="C95">
        <f t="shared" ref="C95:C103" si="73">$AB$3</f>
        <v>0.1157</v>
      </c>
      <c r="D95">
        <v>0.06</v>
      </c>
      <c r="E95">
        <f t="shared" si="22"/>
        <v>0.69419999999999993</v>
      </c>
      <c r="F95" s="29">
        <v>499996.8</v>
      </c>
      <c r="G95">
        <f t="shared" si="23"/>
        <v>3599976.96</v>
      </c>
      <c r="H95">
        <f t="shared" si="24"/>
        <v>5142824.2285714289</v>
      </c>
      <c r="I95">
        <f t="shared" si="25"/>
        <v>42.856868571428571</v>
      </c>
      <c r="J95">
        <f t="shared" si="26"/>
        <v>173.24143137466308</v>
      </c>
      <c r="K95">
        <f t="shared" si="27"/>
        <v>890950.2306660118</v>
      </c>
      <c r="L95">
        <f t="shared" si="28"/>
        <v>6184.9765012834532</v>
      </c>
      <c r="M95" s="7">
        <v>499764.99700347602</v>
      </c>
      <c r="N95">
        <f t="shared" si="29"/>
        <v>3598307.9784250273</v>
      </c>
      <c r="O95">
        <f t="shared" si="30"/>
        <v>5140439.9691786105</v>
      </c>
      <c r="P95">
        <f t="shared" si="31"/>
        <v>42.83699974315509</v>
      </c>
      <c r="Q95">
        <f t="shared" si="32"/>
        <v>173.25530206609926</v>
      </c>
      <c r="R95">
        <f t="shared" si="33"/>
        <v>890608.47961269005</v>
      </c>
      <c r="S95">
        <f t="shared" si="34"/>
        <v>6182.6040654712933</v>
      </c>
      <c r="T95" s="29">
        <v>499649.56452258502</v>
      </c>
      <c r="U95">
        <f t="shared" si="17"/>
        <v>3597476.864562612</v>
      </c>
      <c r="V95">
        <f t="shared" si="18"/>
        <v>5139252.6636608746</v>
      </c>
      <c r="W95">
        <f t="shared" si="19"/>
        <v>42.827105530507289</v>
      </c>
      <c r="X95">
        <f t="shared" si="35"/>
        <v>173.26220934662697</v>
      </c>
      <c r="Y95">
        <f t="shared" si="36"/>
        <v>890438.2708964207</v>
      </c>
      <c r="Z95">
        <f t="shared" si="37"/>
        <v>6181.4224765629515</v>
      </c>
      <c r="AA95" s="29">
        <v>499648.15709636098</v>
      </c>
      <c r="AB95">
        <f t="shared" si="20"/>
        <v>3597466.7310937992</v>
      </c>
      <c r="AC95">
        <f t="shared" si="38"/>
        <v>5139238.187276856</v>
      </c>
      <c r="AD95">
        <f t="shared" si="39"/>
        <v>42.826984893973801</v>
      </c>
      <c r="AE95">
        <f t="shared" si="40"/>
        <v>173.26229356458433</v>
      </c>
      <c r="AF95">
        <f t="shared" si="41"/>
        <v>890436.19550228491</v>
      </c>
      <c r="AG95">
        <f t="shared" si="42"/>
        <v>6181.4080691768613</v>
      </c>
      <c r="AH95" s="29">
        <v>499473.83564454102</v>
      </c>
      <c r="AI95">
        <f t="shared" si="43"/>
        <v>3596211.6166406954</v>
      </c>
      <c r="AJ95">
        <f t="shared" si="44"/>
        <v>5137445.1666295649</v>
      </c>
      <c r="AK95">
        <f t="shared" si="45"/>
        <v>42.81204305524637</v>
      </c>
      <c r="AL95">
        <f t="shared" si="46"/>
        <v>173.27272465954499</v>
      </c>
      <c r="AM95">
        <f t="shared" si="47"/>
        <v>890179.12181091483</v>
      </c>
      <c r="AN95">
        <f t="shared" si="48"/>
        <v>6179.6234636113704</v>
      </c>
      <c r="AO95" s="29">
        <v>484368.82279280102</v>
      </c>
      <c r="AP95">
        <f t="shared" si="49"/>
        <v>3487455.5241081673</v>
      </c>
      <c r="AQ95">
        <f t="shared" si="50"/>
        <v>4982079.3201545244</v>
      </c>
      <c r="AR95">
        <f t="shared" si="51"/>
        <v>41.517327667954369</v>
      </c>
      <c r="AS95">
        <f t="shared" si="52"/>
        <v>174.17658257142807</v>
      </c>
      <c r="AT95">
        <f t="shared" si="53"/>
        <v>867761.55008429871</v>
      </c>
      <c r="AU95">
        <f t="shared" si="54"/>
        <v>6024.0006806852007</v>
      </c>
      <c r="AV95" s="29">
        <v>468754.21562931797</v>
      </c>
      <c r="AW95">
        <f t="shared" si="55"/>
        <v>3375030.3525310894</v>
      </c>
      <c r="AX95">
        <f t="shared" si="56"/>
        <v>4821471.9321872704</v>
      </c>
      <c r="AY95">
        <f t="shared" si="57"/>
        <v>40.178932768227256</v>
      </c>
      <c r="AZ95">
        <f t="shared" si="58"/>
        <v>175.11093372784134</v>
      </c>
      <c r="BA95">
        <f t="shared" si="59"/>
        <v>844292.45198789227</v>
      </c>
      <c r="BB95">
        <f t="shared" si="60"/>
        <v>5861.0782016999474</v>
      </c>
      <c r="BC95" s="29">
        <v>497070.62891804299</v>
      </c>
      <c r="BD95">
        <f t="shared" si="61"/>
        <v>3578908.5282099098</v>
      </c>
      <c r="BE95">
        <f t="shared" si="62"/>
        <v>5112726.4688713001</v>
      </c>
      <c r="BF95">
        <f t="shared" si="63"/>
        <v>42.606053907260836</v>
      </c>
      <c r="BG95">
        <f t="shared" si="64"/>
        <v>173.41652840436507</v>
      </c>
      <c r="BH95">
        <f t="shared" si="65"/>
        <v>886631.27491276897</v>
      </c>
      <c r="BI95">
        <f t="shared" si="66"/>
        <v>6154.9943104444419</v>
      </c>
      <c r="BJ95" s="29">
        <v>495605.035881483</v>
      </c>
      <c r="BK95">
        <f t="shared" si="67"/>
        <v>3568356.2583466778</v>
      </c>
      <c r="BL95">
        <f t="shared" si="68"/>
        <v>5097651.7976381117</v>
      </c>
      <c r="BM95">
        <f t="shared" si="69"/>
        <v>42.480431646984265</v>
      </c>
      <c r="BN95">
        <f t="shared" si="70"/>
        <v>173.50422696342608</v>
      </c>
      <c r="BO95">
        <f t="shared" si="71"/>
        <v>884464.1344779199</v>
      </c>
      <c r="BP95">
        <f t="shared" si="72"/>
        <v>6139.9500215457192</v>
      </c>
    </row>
    <row r="96" spans="1:68" x14ac:dyDescent="0.25">
      <c r="A96">
        <v>2</v>
      </c>
      <c r="B96">
        <v>40</v>
      </c>
      <c r="C96">
        <f t="shared" si="73"/>
        <v>0.1157</v>
      </c>
      <c r="D96">
        <v>0.113</v>
      </c>
      <c r="E96">
        <f t="shared" si="22"/>
        <v>1.30741</v>
      </c>
      <c r="F96" s="29">
        <v>499996.8</v>
      </c>
      <c r="G96">
        <f t="shared" si="23"/>
        <v>3599976.96</v>
      </c>
      <c r="H96">
        <f t="shared" si="24"/>
        <v>5142824.2285714289</v>
      </c>
      <c r="I96">
        <f t="shared" si="25"/>
        <v>42.856868571428571</v>
      </c>
      <c r="J96">
        <f t="shared" si="26"/>
        <v>173.24143137466308</v>
      </c>
      <c r="K96">
        <f t="shared" si="27"/>
        <v>890950.2306660118</v>
      </c>
      <c r="L96">
        <f t="shared" si="28"/>
        <v>11648.372410750504</v>
      </c>
      <c r="M96" s="7">
        <v>500468.44934309699</v>
      </c>
      <c r="N96">
        <f t="shared" si="29"/>
        <v>3603372.8352702982</v>
      </c>
      <c r="O96">
        <f t="shared" si="30"/>
        <v>5147675.4789575683</v>
      </c>
      <c r="P96">
        <f t="shared" si="31"/>
        <v>42.89729565797974</v>
      </c>
      <c r="Q96">
        <f t="shared" si="32"/>
        <v>173.21320869159905</v>
      </c>
      <c r="R96">
        <f t="shared" si="33"/>
        <v>891645.3870133044</v>
      </c>
      <c r="S96">
        <f t="shared" si="34"/>
        <v>11657.460954350643</v>
      </c>
      <c r="T96" s="29">
        <v>500704.54926633101</v>
      </c>
      <c r="U96">
        <f t="shared" si="17"/>
        <v>3605072.7547175833</v>
      </c>
      <c r="V96">
        <f t="shared" si="18"/>
        <v>5150103.9353108332</v>
      </c>
      <c r="W96">
        <f t="shared" si="19"/>
        <v>42.917532794256942</v>
      </c>
      <c r="X96">
        <f t="shared" si="35"/>
        <v>173.19908087948102</v>
      </c>
      <c r="Y96">
        <f t="shared" si="36"/>
        <v>891993.26802963449</v>
      </c>
      <c r="Z96">
        <f t="shared" si="37"/>
        <v>11662.009185546245</v>
      </c>
      <c r="AA96" s="29">
        <v>500703.72316350101</v>
      </c>
      <c r="AB96">
        <f t="shared" si="20"/>
        <v>3605066.8067772072</v>
      </c>
      <c r="AC96">
        <f t="shared" si="38"/>
        <v>5150095.4382531531</v>
      </c>
      <c r="AD96">
        <f t="shared" si="39"/>
        <v>42.917461985442941</v>
      </c>
      <c r="AE96">
        <f t="shared" si="40"/>
        <v>173.19913031204928</v>
      </c>
      <c r="AF96">
        <f t="shared" si="41"/>
        <v>891992.05092949839</v>
      </c>
      <c r="AG96">
        <f t="shared" si="42"/>
        <v>11661.993273057355</v>
      </c>
      <c r="AH96" s="29">
        <v>501057.18474525202</v>
      </c>
      <c r="AI96">
        <f t="shared" si="43"/>
        <v>3607611.7301658145</v>
      </c>
      <c r="AJ96">
        <f t="shared" si="44"/>
        <v>5153731.0430940213</v>
      </c>
      <c r="AK96">
        <f t="shared" si="45"/>
        <v>42.947758692450172</v>
      </c>
      <c r="AL96">
        <f t="shared" si="46"/>
        <v>173.17797978074233</v>
      </c>
      <c r="AM96">
        <f t="shared" si="47"/>
        <v>892512.73037632043</v>
      </c>
      <c r="AN96">
        <f t="shared" si="48"/>
        <v>11668.80068821305</v>
      </c>
      <c r="AO96" s="29">
        <v>479106.16843971697</v>
      </c>
      <c r="AP96">
        <f t="shared" si="49"/>
        <v>3449564.4127659621</v>
      </c>
      <c r="AQ96">
        <f t="shared" si="50"/>
        <v>4927949.1610942315</v>
      </c>
      <c r="AR96">
        <f t="shared" si="51"/>
        <v>41.066243009118594</v>
      </c>
      <c r="AS96">
        <f t="shared" si="52"/>
        <v>174.49149072948325</v>
      </c>
      <c r="AT96">
        <f t="shared" si="53"/>
        <v>859885.19535843888</v>
      </c>
      <c r="AU96">
        <f t="shared" si="54"/>
        <v>11242.225032635766</v>
      </c>
      <c r="AV96" s="29">
        <v>458232.515798187</v>
      </c>
      <c r="AW96">
        <f t="shared" si="55"/>
        <v>3299274.1137469467</v>
      </c>
      <c r="AX96">
        <f t="shared" si="56"/>
        <v>4713248.7339242091</v>
      </c>
      <c r="AY96">
        <f t="shared" si="57"/>
        <v>39.277072782701744</v>
      </c>
      <c r="AZ96">
        <f t="shared" si="58"/>
        <v>175.740534095095</v>
      </c>
      <c r="BA96">
        <f t="shared" si="59"/>
        <v>828308.8498228708</v>
      </c>
      <c r="BB96">
        <f t="shared" si="60"/>
        <v>10829.392733469194</v>
      </c>
      <c r="BC96" s="29">
        <v>494489.27282040502</v>
      </c>
      <c r="BD96">
        <f t="shared" si="61"/>
        <v>3560322.7643069164</v>
      </c>
      <c r="BE96">
        <f t="shared" si="62"/>
        <v>5086175.3775813095</v>
      </c>
      <c r="BF96">
        <f t="shared" si="63"/>
        <v>42.384794813177578</v>
      </c>
      <c r="BG96">
        <f t="shared" si="64"/>
        <v>173.57099230023454</v>
      </c>
      <c r="BH96">
        <f t="shared" si="65"/>
        <v>882812.50729980785</v>
      </c>
      <c r="BI96">
        <f t="shared" si="66"/>
        <v>11541.979001688418</v>
      </c>
      <c r="BJ96" s="29">
        <v>491730.520482097</v>
      </c>
      <c r="BK96">
        <f t="shared" si="67"/>
        <v>3540459.7474710983</v>
      </c>
      <c r="BL96">
        <f t="shared" si="68"/>
        <v>5057799.639244426</v>
      </c>
      <c r="BM96">
        <f t="shared" si="69"/>
        <v>42.148330327036881</v>
      </c>
      <c r="BN96">
        <f t="shared" si="70"/>
        <v>173.73607128112519</v>
      </c>
      <c r="BO96">
        <f t="shared" si="71"/>
        <v>878722.23864941881</v>
      </c>
      <c r="BP96">
        <f t="shared" si="72"/>
        <v>11488.502420326366</v>
      </c>
    </row>
    <row r="97" spans="1:68" x14ac:dyDescent="0.25">
      <c r="A97">
        <v>2</v>
      </c>
      <c r="B97">
        <v>60</v>
      </c>
      <c r="C97">
        <f t="shared" si="73"/>
        <v>0.1157</v>
      </c>
      <c r="D97">
        <v>0.153</v>
      </c>
      <c r="E97">
        <f t="shared" si="22"/>
        <v>1.7702099999999998</v>
      </c>
      <c r="F97" s="29">
        <v>499996.8</v>
      </c>
      <c r="G97">
        <f t="shared" si="23"/>
        <v>3599976.96</v>
      </c>
      <c r="H97">
        <f t="shared" si="24"/>
        <v>5142824.2285714289</v>
      </c>
      <c r="I97">
        <f t="shared" si="25"/>
        <v>42.856868571428571</v>
      </c>
      <c r="J97">
        <f t="shared" si="26"/>
        <v>173.24143137466308</v>
      </c>
      <c r="K97">
        <f t="shared" si="27"/>
        <v>890950.2306660118</v>
      </c>
      <c r="L97">
        <f t="shared" si="28"/>
        <v>15771.690078272806</v>
      </c>
      <c r="M97" s="7">
        <v>500834.301563313</v>
      </c>
      <c r="N97">
        <f t="shared" si="29"/>
        <v>3606006.9712558538</v>
      </c>
      <c r="O97">
        <f t="shared" si="30"/>
        <v>5151438.5303655053</v>
      </c>
      <c r="P97">
        <f t="shared" si="31"/>
        <v>42.928654419712544</v>
      </c>
      <c r="Q97">
        <f t="shared" si="32"/>
        <v>173.19131672586104</v>
      </c>
      <c r="R97">
        <f t="shared" si="33"/>
        <v>892184.42210633634</v>
      </c>
      <c r="S97">
        <f t="shared" si="34"/>
        <v>15793.537858568576</v>
      </c>
      <c r="T97" s="29">
        <v>501253.23157655098</v>
      </c>
      <c r="U97">
        <f t="shared" si="17"/>
        <v>3609023.2673511673</v>
      </c>
      <c r="V97">
        <f t="shared" si="18"/>
        <v>5155747.5247873813</v>
      </c>
      <c r="W97">
        <f t="shared" si="19"/>
        <v>42.964562706561509</v>
      </c>
      <c r="X97">
        <f t="shared" si="35"/>
        <v>173.16624867655139</v>
      </c>
      <c r="Y97">
        <f t="shared" si="36"/>
        <v>892801.4579908459</v>
      </c>
      <c r="Z97">
        <f t="shared" si="37"/>
        <v>15804.460689499752</v>
      </c>
      <c r="AA97" s="29">
        <v>501252.69353001402</v>
      </c>
      <c r="AB97">
        <f t="shared" si="20"/>
        <v>3609019.3934161011</v>
      </c>
      <c r="AC97">
        <f t="shared" si="38"/>
        <v>5155741.9905944308</v>
      </c>
      <c r="AD97">
        <f t="shared" si="39"/>
        <v>42.964516588286919</v>
      </c>
      <c r="AE97">
        <f t="shared" si="40"/>
        <v>173.166280872328</v>
      </c>
      <c r="AF97">
        <f t="shared" si="41"/>
        <v>892800.6656485307</v>
      </c>
      <c r="AG97">
        <f t="shared" si="42"/>
        <v>15804.446663376853</v>
      </c>
      <c r="AH97" s="29">
        <v>501880.64029502199</v>
      </c>
      <c r="AI97">
        <f t="shared" si="43"/>
        <v>3613540.6101241582</v>
      </c>
      <c r="AJ97">
        <f t="shared" si="44"/>
        <v>5162200.8716059402</v>
      </c>
      <c r="AK97">
        <f t="shared" si="45"/>
        <v>43.018340596716165</v>
      </c>
      <c r="AL97">
        <f t="shared" si="46"/>
        <v>173.12870562116041</v>
      </c>
      <c r="AM97">
        <f t="shared" si="47"/>
        <v>893725.15505756252</v>
      </c>
      <c r="AN97">
        <f t="shared" si="48"/>
        <v>15820.812067344476</v>
      </c>
      <c r="AO97" s="29">
        <v>472836.992753784</v>
      </c>
      <c r="AP97">
        <f t="shared" si="49"/>
        <v>3404426.347827245</v>
      </c>
      <c r="AQ97">
        <f t="shared" si="50"/>
        <v>4863466.2111817785</v>
      </c>
      <c r="AR97">
        <f t="shared" si="51"/>
        <v>40.528885093181486</v>
      </c>
      <c r="AS97">
        <f t="shared" si="52"/>
        <v>174.86662738777898</v>
      </c>
      <c r="AT97">
        <f t="shared" si="53"/>
        <v>850457.93376377726</v>
      </c>
      <c r="AU97">
        <f t="shared" si="54"/>
        <v>15054.891389279759</v>
      </c>
      <c r="AV97" s="29">
        <v>445700.16530240601</v>
      </c>
      <c r="AW97">
        <f t="shared" si="55"/>
        <v>3209041.1901773233</v>
      </c>
      <c r="AX97">
        <f t="shared" si="56"/>
        <v>4584344.5573961763</v>
      </c>
      <c r="AY97">
        <f t="shared" si="57"/>
        <v>38.202871311634802</v>
      </c>
      <c r="AZ97">
        <f t="shared" si="58"/>
        <v>176.49044832961343</v>
      </c>
      <c r="BA97">
        <f t="shared" si="59"/>
        <v>809093.02623227437</v>
      </c>
      <c r="BB97">
        <f t="shared" si="60"/>
        <v>14322.645659666343</v>
      </c>
      <c r="BC97" s="29">
        <v>491631.66521738301</v>
      </c>
      <c r="BD97">
        <f t="shared" si="61"/>
        <v>3539747.9895651578</v>
      </c>
      <c r="BE97">
        <f t="shared" si="62"/>
        <v>5056782.8422359396</v>
      </c>
      <c r="BF97">
        <f t="shared" si="63"/>
        <v>42.139857018632831</v>
      </c>
      <c r="BG97">
        <f t="shared" si="64"/>
        <v>173.74198660963367</v>
      </c>
      <c r="BH97">
        <f t="shared" si="65"/>
        <v>878575.49686358194</v>
      </c>
      <c r="BI97">
        <f t="shared" si="66"/>
        <v>15552.631303028813</v>
      </c>
      <c r="BJ97" s="29">
        <v>487440.77098117501</v>
      </c>
      <c r="BK97">
        <f t="shared" si="67"/>
        <v>3509573.5510644601</v>
      </c>
      <c r="BL97">
        <f t="shared" si="68"/>
        <v>5013676.5015206579</v>
      </c>
      <c r="BM97">
        <f t="shared" si="69"/>
        <v>41.780637512672151</v>
      </c>
      <c r="BN97">
        <f t="shared" si="70"/>
        <v>173.9927624911534</v>
      </c>
      <c r="BO97">
        <f t="shared" si="71"/>
        <v>872343.42473656067</v>
      </c>
      <c r="BP97">
        <f t="shared" si="72"/>
        <v>15442.310539029069</v>
      </c>
    </row>
    <row r="98" spans="1:68" x14ac:dyDescent="0.25">
      <c r="A98">
        <v>2</v>
      </c>
      <c r="B98">
        <v>80</v>
      </c>
      <c r="C98">
        <f t="shared" si="73"/>
        <v>0.1157</v>
      </c>
      <c r="D98">
        <v>0.17399999999999999</v>
      </c>
      <c r="E98">
        <f t="shared" si="22"/>
        <v>2.0131799999999997</v>
      </c>
      <c r="F98" s="29">
        <v>499996.8</v>
      </c>
      <c r="G98">
        <f t="shared" si="23"/>
        <v>3599976.96</v>
      </c>
      <c r="H98">
        <f t="shared" si="24"/>
        <v>5142824.2285714289</v>
      </c>
      <c r="I98">
        <f t="shared" si="25"/>
        <v>42.856868571428571</v>
      </c>
      <c r="J98">
        <f t="shared" si="26"/>
        <v>173.24143137466308</v>
      </c>
      <c r="K98">
        <f t="shared" si="27"/>
        <v>890950.2306660118</v>
      </c>
      <c r="L98">
        <f t="shared" si="28"/>
        <v>17936.431853722013</v>
      </c>
      <c r="M98" s="7">
        <v>501054.86365776201</v>
      </c>
      <c r="N98">
        <f t="shared" si="29"/>
        <v>3607595.0183358863</v>
      </c>
      <c r="O98">
        <f t="shared" si="30"/>
        <v>5153707.1690512653</v>
      </c>
      <c r="P98">
        <f t="shared" si="31"/>
        <v>42.947559742093873</v>
      </c>
      <c r="Q98">
        <f t="shared" si="32"/>
        <v>173.17811867061371</v>
      </c>
      <c r="R98">
        <f t="shared" si="33"/>
        <v>892509.3117155527</v>
      </c>
      <c r="S98">
        <f t="shared" si="34"/>
        <v>17967.818961595163</v>
      </c>
      <c r="T98" s="29">
        <v>501584.10349573899</v>
      </c>
      <c r="U98">
        <f t="shared" si="17"/>
        <v>3611405.5451693209</v>
      </c>
      <c r="V98">
        <f t="shared" si="18"/>
        <v>5159150.7788133156</v>
      </c>
      <c r="W98">
        <f t="shared" si="19"/>
        <v>42.992923156777628</v>
      </c>
      <c r="X98">
        <f t="shared" si="35"/>
        <v>173.14644987168356</v>
      </c>
      <c r="Y98">
        <f t="shared" si="36"/>
        <v>893288.64170425688</v>
      </c>
      <c r="Z98">
        <f t="shared" si="37"/>
        <v>17983.508277061756</v>
      </c>
      <c r="AA98" s="29">
        <v>501583.478977883</v>
      </c>
      <c r="AB98">
        <f t="shared" si="20"/>
        <v>3611401.0486407578</v>
      </c>
      <c r="AC98">
        <f t="shared" si="38"/>
        <v>5159144.3552010823</v>
      </c>
      <c r="AD98">
        <f t="shared" si="39"/>
        <v>42.992869626675684</v>
      </c>
      <c r="AE98">
        <f t="shared" si="40"/>
        <v>173.1464872417547</v>
      </c>
      <c r="AF98">
        <f t="shared" si="41"/>
        <v>893287.72227619495</v>
      </c>
      <c r="AG98">
        <f t="shared" si="42"/>
        <v>17983.489767319901</v>
      </c>
      <c r="AH98" s="29">
        <v>502376.818466825</v>
      </c>
      <c r="AI98">
        <f t="shared" si="43"/>
        <v>3617113.09296114</v>
      </c>
      <c r="AJ98">
        <f t="shared" si="44"/>
        <v>5167304.4185159141</v>
      </c>
      <c r="AK98">
        <f t="shared" si="45"/>
        <v>43.060870154299288</v>
      </c>
      <c r="AL98">
        <f t="shared" si="46"/>
        <v>173.09901517530051</v>
      </c>
      <c r="AM98">
        <f t="shared" si="47"/>
        <v>894455.30595608358</v>
      </c>
      <c r="AN98">
        <f t="shared" si="48"/>
        <v>18006.995328446683</v>
      </c>
      <c r="AO98" s="29">
        <v>466401.53221682803</v>
      </c>
      <c r="AP98">
        <f t="shared" si="49"/>
        <v>3358091.0319611616</v>
      </c>
      <c r="AQ98">
        <f t="shared" si="50"/>
        <v>4797272.902801659</v>
      </c>
      <c r="AR98">
        <f t="shared" si="51"/>
        <v>39.977274190013823</v>
      </c>
      <c r="AS98">
        <f t="shared" si="52"/>
        <v>175.25171424470733</v>
      </c>
      <c r="AT98">
        <f t="shared" si="53"/>
        <v>840730.29991567403</v>
      </c>
      <c r="AU98">
        <f t="shared" si="54"/>
        <v>16925.414251842365</v>
      </c>
      <c r="AV98" s="29">
        <v>432837.46205301699</v>
      </c>
      <c r="AW98">
        <f t="shared" si="55"/>
        <v>3116429.7267817226</v>
      </c>
      <c r="AX98">
        <f t="shared" si="56"/>
        <v>4452042.4668310331</v>
      </c>
      <c r="AY98">
        <f t="shared" si="57"/>
        <v>37.10035389025861</v>
      </c>
      <c r="AZ98">
        <f t="shared" si="58"/>
        <v>177.26013030302701</v>
      </c>
      <c r="BA98">
        <f t="shared" si="59"/>
        <v>789169.62778507872</v>
      </c>
      <c r="BB98">
        <f t="shared" si="60"/>
        <v>15887.405112643646</v>
      </c>
      <c r="BC98" s="29">
        <v>489415.34301072202</v>
      </c>
      <c r="BD98">
        <f t="shared" si="61"/>
        <v>3523790.4696771987</v>
      </c>
      <c r="BE98">
        <f t="shared" si="62"/>
        <v>5033986.3852531407</v>
      </c>
      <c r="BF98">
        <f t="shared" si="63"/>
        <v>41.949886543776174</v>
      </c>
      <c r="BG98">
        <f t="shared" si="64"/>
        <v>173.87460750717511</v>
      </c>
      <c r="BH98">
        <f t="shared" si="65"/>
        <v>875282.40693235304</v>
      </c>
      <c r="BI98">
        <f t="shared" si="66"/>
        <v>17621.010359880744</v>
      </c>
      <c r="BJ98" s="29">
        <v>484112.963534082</v>
      </c>
      <c r="BK98">
        <f t="shared" si="67"/>
        <v>3485613.3374453904</v>
      </c>
      <c r="BL98">
        <f t="shared" si="68"/>
        <v>4979447.6249219859</v>
      </c>
      <c r="BM98">
        <f t="shared" si="69"/>
        <v>41.495396874349879</v>
      </c>
      <c r="BN98">
        <f t="shared" si="70"/>
        <v>174.19189274809537</v>
      </c>
      <c r="BO98">
        <f t="shared" si="71"/>
        <v>867379.40662516875</v>
      </c>
      <c r="BP98">
        <f t="shared" si="72"/>
        <v>17461.90873829657</v>
      </c>
    </row>
    <row r="99" spans="1:68" x14ac:dyDescent="0.25">
      <c r="A99">
        <v>2</v>
      </c>
      <c r="B99">
        <v>100</v>
      </c>
      <c r="C99">
        <f t="shared" si="73"/>
        <v>0.1157</v>
      </c>
      <c r="D99">
        <v>0.17399999999999999</v>
      </c>
      <c r="E99">
        <f t="shared" si="22"/>
        <v>2.0131799999999997</v>
      </c>
      <c r="F99" s="29">
        <v>499996.8</v>
      </c>
      <c r="G99">
        <f t="shared" si="23"/>
        <v>3599976.96</v>
      </c>
      <c r="H99">
        <f t="shared" si="24"/>
        <v>5142824.2285714289</v>
      </c>
      <c r="I99">
        <f t="shared" si="25"/>
        <v>42.856868571428571</v>
      </c>
      <c r="J99">
        <f t="shared" si="26"/>
        <v>173.24143137466308</v>
      </c>
      <c r="K99">
        <f t="shared" si="27"/>
        <v>890950.2306660118</v>
      </c>
      <c r="L99">
        <f t="shared" si="28"/>
        <v>17936.431853722013</v>
      </c>
      <c r="M99" s="7">
        <v>501121.32943136699</v>
      </c>
      <c r="N99">
        <f t="shared" si="29"/>
        <v>3608073.5719058425</v>
      </c>
      <c r="O99">
        <f t="shared" si="30"/>
        <v>5154390.8170083463</v>
      </c>
      <c r="P99">
        <f t="shared" si="31"/>
        <v>42.953256808402884</v>
      </c>
      <c r="Q99">
        <f t="shared" si="32"/>
        <v>173.17414147337911</v>
      </c>
      <c r="R99">
        <f t="shared" si="33"/>
        <v>892607.20455368946</v>
      </c>
      <c r="S99">
        <f t="shared" si="34"/>
        <v>17969.789720633962</v>
      </c>
      <c r="T99" s="29">
        <v>501684.02596783597</v>
      </c>
      <c r="U99">
        <f t="shared" si="17"/>
        <v>3612124.986968419</v>
      </c>
      <c r="V99">
        <f t="shared" si="18"/>
        <v>5160178.5528120268</v>
      </c>
      <c r="W99">
        <f t="shared" si="19"/>
        <v>43.001487940100226</v>
      </c>
      <c r="X99">
        <f t="shared" si="35"/>
        <v>173.14047068332627</v>
      </c>
      <c r="Y99">
        <f t="shared" si="36"/>
        <v>893435.74344387976</v>
      </c>
      <c r="Z99">
        <f t="shared" si="37"/>
        <v>17986.469699863497</v>
      </c>
      <c r="AA99" s="29">
        <v>501682.72961801401</v>
      </c>
      <c r="AB99">
        <f t="shared" si="20"/>
        <v>3612115.653249701</v>
      </c>
      <c r="AC99">
        <f t="shared" si="38"/>
        <v>5160165.2189281443</v>
      </c>
      <c r="AD99">
        <f t="shared" si="39"/>
        <v>43.001376824401206</v>
      </c>
      <c r="AE99">
        <f t="shared" si="40"/>
        <v>173.14054825466332</v>
      </c>
      <c r="AF99">
        <f t="shared" si="41"/>
        <v>893433.83508986363</v>
      </c>
      <c r="AG99">
        <f t="shared" si="42"/>
        <v>17986.431281262114</v>
      </c>
      <c r="AH99" s="29">
        <v>502525.69442702102</v>
      </c>
      <c r="AI99">
        <f t="shared" si="43"/>
        <v>3618184.9998745513</v>
      </c>
      <c r="AJ99">
        <f t="shared" si="44"/>
        <v>5168835.714106502</v>
      </c>
      <c r="AK99">
        <f t="shared" si="45"/>
        <v>43.073630950887519</v>
      </c>
      <c r="AL99">
        <f t="shared" si="46"/>
        <v>173.09010669466343</v>
      </c>
      <c r="AM99">
        <f t="shared" si="47"/>
        <v>894674.32524188131</v>
      </c>
      <c r="AN99">
        <f t="shared" si="48"/>
        <v>18011.404580904506</v>
      </c>
      <c r="AO99" s="29">
        <v>460894.99493071297</v>
      </c>
      <c r="AP99">
        <f t="shared" si="49"/>
        <v>3318443.9635011335</v>
      </c>
      <c r="AQ99">
        <f t="shared" si="50"/>
        <v>4740634.2335730474</v>
      </c>
      <c r="AR99">
        <f t="shared" si="51"/>
        <v>39.505285279775393</v>
      </c>
      <c r="AS99">
        <f t="shared" si="52"/>
        <v>175.58121593676057</v>
      </c>
      <c r="AT99">
        <f t="shared" si="53"/>
        <v>832366.32304218865</v>
      </c>
      <c r="AU99">
        <f t="shared" si="54"/>
        <v>16757.032342220733</v>
      </c>
      <c r="AV99" s="29">
        <v>421834.13966641901</v>
      </c>
      <c r="AW99">
        <f t="shared" si="55"/>
        <v>3037205.8055982171</v>
      </c>
      <c r="AX99">
        <f t="shared" si="56"/>
        <v>4338865.4365688814</v>
      </c>
      <c r="AY99">
        <f t="shared" si="57"/>
        <v>36.157211971407342</v>
      </c>
      <c r="AZ99">
        <f t="shared" si="58"/>
        <v>177.91855013316845</v>
      </c>
      <c r="BA99">
        <f t="shared" si="59"/>
        <v>771964.64769725234</v>
      </c>
      <c r="BB99">
        <f t="shared" si="60"/>
        <v>15541.037894511543</v>
      </c>
      <c r="BC99" s="29">
        <v>488570.64555642201</v>
      </c>
      <c r="BD99">
        <f t="shared" si="61"/>
        <v>3517708.6480062385</v>
      </c>
      <c r="BE99">
        <f t="shared" si="62"/>
        <v>5025298.0685803406</v>
      </c>
      <c r="BF99">
        <f t="shared" si="63"/>
        <v>41.877483904836176</v>
      </c>
      <c r="BG99">
        <f t="shared" si="64"/>
        <v>173.92515274568041</v>
      </c>
      <c r="BH99">
        <f t="shared" si="65"/>
        <v>874025.73417040845</v>
      </c>
      <c r="BI99">
        <f t="shared" si="66"/>
        <v>17595.711275171827</v>
      </c>
      <c r="BJ99" s="29">
        <v>482843.74643822003</v>
      </c>
      <c r="BK99">
        <f t="shared" si="67"/>
        <v>3476474.9743551845</v>
      </c>
      <c r="BL99">
        <f t="shared" si="68"/>
        <v>4966392.8205074063</v>
      </c>
      <c r="BM99">
        <f t="shared" si="69"/>
        <v>41.386606837561715</v>
      </c>
      <c r="BN99">
        <f t="shared" si="70"/>
        <v>174.26784050962672</v>
      </c>
      <c r="BO99">
        <f t="shared" si="71"/>
        <v>865482.55195233994</v>
      </c>
      <c r="BP99">
        <f t="shared" si="72"/>
        <v>17423.721639394116</v>
      </c>
    </row>
    <row r="100" spans="1:68" x14ac:dyDescent="0.25">
      <c r="A100">
        <v>2</v>
      </c>
      <c r="B100">
        <v>120</v>
      </c>
      <c r="C100">
        <f t="shared" si="73"/>
        <v>0.1157</v>
      </c>
      <c r="D100">
        <v>0.153</v>
      </c>
      <c r="E100">
        <f t="shared" si="22"/>
        <v>1.7702099999999998</v>
      </c>
      <c r="F100" s="29">
        <v>499996.8</v>
      </c>
      <c r="G100">
        <f t="shared" si="23"/>
        <v>3599976.96</v>
      </c>
      <c r="H100">
        <f t="shared" si="24"/>
        <v>5142824.2285714289</v>
      </c>
      <c r="I100">
        <f t="shared" si="25"/>
        <v>42.856868571428571</v>
      </c>
      <c r="J100">
        <f t="shared" si="26"/>
        <v>173.24143137466308</v>
      </c>
      <c r="K100">
        <f t="shared" si="27"/>
        <v>890950.2306660118</v>
      </c>
      <c r="L100">
        <f t="shared" si="28"/>
        <v>15771.690078272806</v>
      </c>
      <c r="M100" s="7">
        <v>500793.92401493102</v>
      </c>
      <c r="N100">
        <f t="shared" si="29"/>
        <v>3605716.2529075034</v>
      </c>
      <c r="O100">
        <f t="shared" si="30"/>
        <v>5151023.2184392903</v>
      </c>
      <c r="P100">
        <f t="shared" si="31"/>
        <v>42.92519348699409</v>
      </c>
      <c r="Q100">
        <f t="shared" si="32"/>
        <v>173.19373284870224</v>
      </c>
      <c r="R100">
        <f t="shared" si="33"/>
        <v>892124.93919183686</v>
      </c>
      <c r="S100">
        <f t="shared" si="34"/>
        <v>15792.484886067814</v>
      </c>
      <c r="T100" s="29">
        <v>501193.45378824702</v>
      </c>
      <c r="U100">
        <f t="shared" si="17"/>
        <v>3608592.8672753787</v>
      </c>
      <c r="V100">
        <f t="shared" si="18"/>
        <v>5155132.667536255</v>
      </c>
      <c r="W100">
        <f t="shared" si="19"/>
        <v>42.95943889613546</v>
      </c>
      <c r="X100">
        <f t="shared" si="35"/>
        <v>173.16982567628278</v>
      </c>
      <c r="Y100">
        <f t="shared" si="36"/>
        <v>892713.42537536391</v>
      </c>
      <c r="Z100">
        <f t="shared" si="37"/>
        <v>15802.902327337228</v>
      </c>
      <c r="AA100" s="29">
        <v>501190.54884590697</v>
      </c>
      <c r="AB100">
        <f t="shared" si="20"/>
        <v>3608571.9516905304</v>
      </c>
      <c r="AC100">
        <f t="shared" si="38"/>
        <v>5155102.7881293288</v>
      </c>
      <c r="AD100">
        <f t="shared" si="39"/>
        <v>42.959189901077735</v>
      </c>
      <c r="AE100">
        <f t="shared" si="40"/>
        <v>173.16999950302119</v>
      </c>
      <c r="AF100">
        <f t="shared" si="41"/>
        <v>892709.14725837903</v>
      </c>
      <c r="AG100">
        <f t="shared" si="42"/>
        <v>15802.826595682551</v>
      </c>
      <c r="AH100" s="29">
        <v>501787.42326886102</v>
      </c>
      <c r="AI100">
        <f t="shared" si="43"/>
        <v>3612869.4475357994</v>
      </c>
      <c r="AJ100">
        <f t="shared" si="44"/>
        <v>5161242.0679082843</v>
      </c>
      <c r="AK100">
        <f t="shared" si="45"/>
        <v>43.010350565902364</v>
      </c>
      <c r="AL100">
        <f t="shared" si="46"/>
        <v>173.13428356720024</v>
      </c>
      <c r="AM100">
        <f t="shared" si="47"/>
        <v>893587.94774419582</v>
      </c>
      <c r="AN100">
        <f t="shared" si="48"/>
        <v>15818.383209762527</v>
      </c>
      <c r="AO100" s="29">
        <v>457366.47382142901</v>
      </c>
      <c r="AP100">
        <f t="shared" si="49"/>
        <v>3293038.6115142889</v>
      </c>
      <c r="AQ100">
        <f t="shared" si="50"/>
        <v>4704340.8735918412</v>
      </c>
      <c r="AR100">
        <f t="shared" si="51"/>
        <v>39.202840613265344</v>
      </c>
      <c r="AS100">
        <f t="shared" si="52"/>
        <v>175.79235655300343</v>
      </c>
      <c r="AT100">
        <f t="shared" si="53"/>
        <v>826987.16819732462</v>
      </c>
      <c r="AU100">
        <f t="shared" si="54"/>
        <v>14639.40955014586</v>
      </c>
      <c r="AV100" s="29">
        <v>414787.09392218402</v>
      </c>
      <c r="AW100">
        <f t="shared" si="55"/>
        <v>2986467.0762397251</v>
      </c>
      <c r="AX100">
        <f t="shared" si="56"/>
        <v>4266381.537485322</v>
      </c>
      <c r="AY100">
        <f t="shared" si="57"/>
        <v>35.553179479044346</v>
      </c>
      <c r="AZ100">
        <f t="shared" si="58"/>
        <v>178.3402331938747</v>
      </c>
      <c r="BA100">
        <f t="shared" si="59"/>
        <v>760867.47828917392</v>
      </c>
      <c r="BB100">
        <f t="shared" si="60"/>
        <v>13468.952187422785</v>
      </c>
      <c r="BC100" s="29">
        <v>489301.59406946501</v>
      </c>
      <c r="BD100">
        <f t="shared" si="61"/>
        <v>3522971.477300148</v>
      </c>
      <c r="BE100">
        <f t="shared" si="62"/>
        <v>5032816.3961430686</v>
      </c>
      <c r="BF100">
        <f t="shared" si="63"/>
        <v>41.940136634525572</v>
      </c>
      <c r="BG100">
        <f t="shared" si="64"/>
        <v>173.88141404759534</v>
      </c>
      <c r="BH100">
        <f t="shared" si="65"/>
        <v>875113.23160327948</v>
      </c>
      <c r="BI100">
        <f t="shared" si="66"/>
        <v>15491.341937164412</v>
      </c>
      <c r="BJ100" s="29">
        <v>483939.98624127702</v>
      </c>
      <c r="BK100">
        <f t="shared" si="67"/>
        <v>3484367.9009371945</v>
      </c>
      <c r="BL100">
        <f t="shared" si="68"/>
        <v>4977668.429910277</v>
      </c>
      <c r="BM100">
        <f t="shared" si="69"/>
        <v>41.48057024925231</v>
      </c>
      <c r="BN100">
        <f t="shared" si="70"/>
        <v>174.20224341089934</v>
      </c>
      <c r="BO100">
        <f t="shared" si="71"/>
        <v>867121.00744597928</v>
      </c>
      <c r="BP100">
        <f t="shared" si="72"/>
        <v>15349.862785909469</v>
      </c>
    </row>
    <row r="101" spans="1:68" x14ac:dyDescent="0.25">
      <c r="A101">
        <v>2</v>
      </c>
      <c r="B101">
        <v>140</v>
      </c>
      <c r="C101">
        <f t="shared" si="73"/>
        <v>0.1157</v>
      </c>
      <c r="D101">
        <v>0.113</v>
      </c>
      <c r="E101">
        <f t="shared" si="22"/>
        <v>1.30741</v>
      </c>
      <c r="F101" s="29">
        <v>499996.8</v>
      </c>
      <c r="G101">
        <f t="shared" si="23"/>
        <v>3599976.96</v>
      </c>
      <c r="H101">
        <f t="shared" si="24"/>
        <v>5142824.2285714289</v>
      </c>
      <c r="I101">
        <f t="shared" si="25"/>
        <v>42.856868571428571</v>
      </c>
      <c r="J101">
        <f t="shared" si="26"/>
        <v>173.24143137466308</v>
      </c>
      <c r="K101">
        <f t="shared" si="27"/>
        <v>890950.2306660118</v>
      </c>
      <c r="L101">
        <f t="shared" si="28"/>
        <v>11648.372410750504</v>
      </c>
      <c r="M101" s="7">
        <v>499771.01305782603</v>
      </c>
      <c r="N101">
        <f t="shared" si="29"/>
        <v>3598351.2940163473</v>
      </c>
      <c r="O101">
        <f t="shared" si="30"/>
        <v>5140501.8485947819</v>
      </c>
      <c r="P101">
        <f t="shared" si="31"/>
        <v>42.837515404956513</v>
      </c>
      <c r="Q101">
        <f t="shared" si="32"/>
        <v>173.25494207578507</v>
      </c>
      <c r="R101">
        <f t="shared" si="33"/>
        <v>890617.35001875495</v>
      </c>
      <c r="S101">
        <f t="shared" si="34"/>
        <v>11644.020295880204</v>
      </c>
      <c r="T101" s="29">
        <v>499659.98628123099</v>
      </c>
      <c r="U101">
        <f t="shared" si="17"/>
        <v>3597551.9012248632</v>
      </c>
      <c r="V101">
        <f t="shared" si="18"/>
        <v>5139359.8588926625</v>
      </c>
      <c r="W101">
        <f t="shared" si="19"/>
        <v>42.827998824105521</v>
      </c>
      <c r="X101">
        <f t="shared" si="35"/>
        <v>173.26158572656783</v>
      </c>
      <c r="Y101">
        <f t="shared" si="36"/>
        <v>890453.63877121254</v>
      </c>
      <c r="Z101">
        <f t="shared" si="37"/>
        <v>11641.879918658709</v>
      </c>
      <c r="AA101" s="29">
        <v>499654.38357713103</v>
      </c>
      <c r="AB101">
        <f t="shared" si="20"/>
        <v>3597511.5617553433</v>
      </c>
      <c r="AC101">
        <f t="shared" si="38"/>
        <v>5139302.2310790615</v>
      </c>
      <c r="AD101">
        <f t="shared" si="39"/>
        <v>42.827518592325511</v>
      </c>
      <c r="AE101">
        <f t="shared" si="40"/>
        <v>173.26192098271616</v>
      </c>
      <c r="AF101">
        <f t="shared" si="41"/>
        <v>890445.37706751726</v>
      </c>
      <c r="AG101">
        <f t="shared" si="42"/>
        <v>11641.771904318428</v>
      </c>
      <c r="AH101" s="29">
        <v>499483.17536569701</v>
      </c>
      <c r="AI101">
        <f t="shared" si="43"/>
        <v>3596278.8626330188</v>
      </c>
      <c r="AJ101">
        <f t="shared" si="44"/>
        <v>5137541.2323328834</v>
      </c>
      <c r="AK101">
        <f t="shared" si="45"/>
        <v>42.812843602774031</v>
      </c>
      <c r="AL101">
        <f t="shared" si="46"/>
        <v>173.27216578674265</v>
      </c>
      <c r="AM101">
        <f t="shared" si="47"/>
        <v>890192.89614500955</v>
      </c>
      <c r="AN101">
        <f t="shared" si="48"/>
        <v>11638.470943489468</v>
      </c>
      <c r="AO101" s="29">
        <v>456540.11896323803</v>
      </c>
      <c r="AP101">
        <f t="shared" si="49"/>
        <v>3287088.8565353137</v>
      </c>
      <c r="AQ101">
        <f t="shared" si="50"/>
        <v>4695841.2236218769</v>
      </c>
      <c r="AR101">
        <f t="shared" si="51"/>
        <v>39.132010196848974</v>
      </c>
      <c r="AS101">
        <f t="shared" si="52"/>
        <v>175.84180420219977</v>
      </c>
      <c r="AT101">
        <f t="shared" si="53"/>
        <v>825725.19300873624</v>
      </c>
      <c r="AU101">
        <f t="shared" si="54"/>
        <v>10795.613745915518</v>
      </c>
      <c r="AV101" s="29">
        <v>413142.99798593001</v>
      </c>
      <c r="AW101">
        <f t="shared" si="55"/>
        <v>2974629.5854986962</v>
      </c>
      <c r="AX101">
        <f t="shared" si="56"/>
        <v>4249470.8364267088</v>
      </c>
      <c r="AY101">
        <f t="shared" si="57"/>
        <v>35.412256970222572</v>
      </c>
      <c r="AZ101">
        <f t="shared" si="58"/>
        <v>178.43861305852386</v>
      </c>
      <c r="BA101">
        <f t="shared" si="59"/>
        <v>758269.68228462723</v>
      </c>
      <c r="BB101">
        <f t="shared" si="60"/>
        <v>9913.6936531574447</v>
      </c>
      <c r="BC101" s="29">
        <v>491261.94946469099</v>
      </c>
      <c r="BD101">
        <f t="shared" si="61"/>
        <v>3537086.0361457751</v>
      </c>
      <c r="BE101">
        <f t="shared" si="62"/>
        <v>5052980.0516368216</v>
      </c>
      <c r="BF101">
        <f t="shared" si="63"/>
        <v>42.10816709697351</v>
      </c>
      <c r="BG101">
        <f t="shared" si="64"/>
        <v>173.76410976249019</v>
      </c>
      <c r="BH101">
        <f t="shared" si="65"/>
        <v>878026.58032029402</v>
      </c>
      <c r="BI101">
        <f t="shared" si="66"/>
        <v>11479.407313765556</v>
      </c>
      <c r="BJ101" s="29">
        <v>486882.29855188401</v>
      </c>
      <c r="BK101">
        <f t="shared" si="67"/>
        <v>3505552.5495735649</v>
      </c>
      <c r="BL101">
        <f t="shared" si="68"/>
        <v>5007932.2136765216</v>
      </c>
      <c r="BM101">
        <f t="shared" si="69"/>
        <v>41.732768447304345</v>
      </c>
      <c r="BN101">
        <f t="shared" si="70"/>
        <v>174.02618051791961</v>
      </c>
      <c r="BO101">
        <f t="shared" si="71"/>
        <v>871511.31543877511</v>
      </c>
      <c r="BP101">
        <f t="shared" si="72"/>
        <v>11394.22608917809</v>
      </c>
    </row>
    <row r="102" spans="1:68" x14ac:dyDescent="0.25">
      <c r="A102">
        <v>2</v>
      </c>
      <c r="B102">
        <v>160</v>
      </c>
      <c r="C102">
        <f t="shared" si="73"/>
        <v>0.1157</v>
      </c>
      <c r="D102">
        <v>0.06</v>
      </c>
      <c r="E102">
        <f t="shared" si="22"/>
        <v>0.69419999999999993</v>
      </c>
      <c r="F102" s="29">
        <v>499996.8</v>
      </c>
      <c r="G102">
        <f t="shared" si="23"/>
        <v>3599976.96</v>
      </c>
      <c r="H102">
        <f t="shared" si="24"/>
        <v>5142824.2285714289</v>
      </c>
      <c r="I102">
        <f t="shared" si="25"/>
        <v>42.856868571428571</v>
      </c>
      <c r="J102">
        <f t="shared" si="26"/>
        <v>173.24143137466308</v>
      </c>
      <c r="K102">
        <f t="shared" si="27"/>
        <v>890950.2306660118</v>
      </c>
      <c r="L102">
        <f t="shared" si="28"/>
        <v>6184.9765012834532</v>
      </c>
      <c r="M102" s="7">
        <v>497938.44157469802</v>
      </c>
      <c r="N102">
        <f t="shared" si="29"/>
        <v>3585156.7793378257</v>
      </c>
      <c r="O102">
        <f t="shared" si="30"/>
        <v>5121652.5419111801</v>
      </c>
      <c r="P102">
        <f t="shared" si="31"/>
        <v>42.680437849259832</v>
      </c>
      <c r="Q102">
        <f t="shared" si="32"/>
        <v>173.36459999202614</v>
      </c>
      <c r="R102">
        <f t="shared" si="33"/>
        <v>887913.2442265756</v>
      </c>
      <c r="S102">
        <f t="shared" si="34"/>
        <v>6163.8937414208876</v>
      </c>
      <c r="T102" s="29">
        <v>496912.22990939702</v>
      </c>
      <c r="U102">
        <f t="shared" si="17"/>
        <v>3577768.0553476587</v>
      </c>
      <c r="V102">
        <f t="shared" si="18"/>
        <v>5111097.221925226</v>
      </c>
      <c r="W102">
        <f t="shared" si="19"/>
        <v>42.592476849376879</v>
      </c>
      <c r="X102">
        <f t="shared" si="35"/>
        <v>173.42600672779349</v>
      </c>
      <c r="Y102">
        <f t="shared" si="36"/>
        <v>886397.18119601079</v>
      </c>
      <c r="Z102">
        <f t="shared" si="37"/>
        <v>6153.3692318627063</v>
      </c>
      <c r="AA102" s="29">
        <v>496903.323980883</v>
      </c>
      <c r="AB102">
        <f t="shared" si="20"/>
        <v>3577703.9326623576</v>
      </c>
      <c r="AC102">
        <f t="shared" si="38"/>
        <v>5111005.6180890827</v>
      </c>
      <c r="AD102">
        <f t="shared" si="39"/>
        <v>42.59171348407569</v>
      </c>
      <c r="AE102">
        <f t="shared" si="40"/>
        <v>173.42653964319243</v>
      </c>
      <c r="AF102">
        <f t="shared" si="41"/>
        <v>886384.0184421055</v>
      </c>
      <c r="AG102">
        <f t="shared" si="42"/>
        <v>6153.2778560250963</v>
      </c>
      <c r="AH102" s="29">
        <v>495356.58597132401</v>
      </c>
      <c r="AI102">
        <f t="shared" si="43"/>
        <v>3566567.4189935331</v>
      </c>
      <c r="AJ102">
        <f t="shared" si="44"/>
        <v>5095096.3128479049</v>
      </c>
      <c r="AK102">
        <f t="shared" si="45"/>
        <v>42.459135940399207</v>
      </c>
      <c r="AL102">
        <f t="shared" si="46"/>
        <v>173.51909377745716</v>
      </c>
      <c r="AM102">
        <f t="shared" si="47"/>
        <v>884096.49491423182</v>
      </c>
      <c r="AN102">
        <f t="shared" si="48"/>
        <v>6137.3978676945972</v>
      </c>
      <c r="AO102" s="29">
        <v>458626.01317656599</v>
      </c>
      <c r="AP102">
        <f t="shared" si="49"/>
        <v>3302107.2948712753</v>
      </c>
      <c r="AQ102">
        <f t="shared" si="50"/>
        <v>4717296.1355303936</v>
      </c>
      <c r="AR102">
        <f t="shared" si="51"/>
        <v>39.31080112941995</v>
      </c>
      <c r="AS102">
        <f t="shared" si="52"/>
        <v>175.71698789078229</v>
      </c>
      <c r="AT102">
        <f t="shared" si="53"/>
        <v>828909.06792422826</v>
      </c>
      <c r="AU102">
        <f t="shared" si="54"/>
        <v>5754.2867495299924</v>
      </c>
      <c r="AV102" s="29">
        <v>417320.54655264202</v>
      </c>
      <c r="AW102">
        <f t="shared" si="55"/>
        <v>3004707.9351790226</v>
      </c>
      <c r="AX102">
        <f t="shared" si="56"/>
        <v>4292439.9073986039</v>
      </c>
      <c r="AY102">
        <f t="shared" si="57"/>
        <v>35.770332561655032</v>
      </c>
      <c r="AZ102">
        <f t="shared" si="58"/>
        <v>178.18863575884461</v>
      </c>
      <c r="BA102">
        <f t="shared" si="59"/>
        <v>764864.01117617858</v>
      </c>
      <c r="BB102">
        <f t="shared" si="60"/>
        <v>5309.6859655850312</v>
      </c>
      <c r="BC102" s="29">
        <v>493798.653313538</v>
      </c>
      <c r="BD102">
        <f t="shared" si="61"/>
        <v>3555350.3038574737</v>
      </c>
      <c r="BE102">
        <f t="shared" si="62"/>
        <v>5079071.8626535339</v>
      </c>
      <c r="BF102">
        <f t="shared" si="63"/>
        <v>42.325598855446117</v>
      </c>
      <c r="BG102">
        <f t="shared" si="64"/>
        <v>173.61231778016025</v>
      </c>
      <c r="BH102">
        <f t="shared" si="65"/>
        <v>881789.43824727577</v>
      </c>
      <c r="BI102">
        <f t="shared" si="66"/>
        <v>6121.3822803125877</v>
      </c>
      <c r="BJ102" s="29">
        <v>490690.21627836302</v>
      </c>
      <c r="BK102">
        <f t="shared" si="67"/>
        <v>3532969.5572042139</v>
      </c>
      <c r="BL102">
        <f t="shared" si="68"/>
        <v>5047099.3674345911</v>
      </c>
      <c r="BM102">
        <f t="shared" si="69"/>
        <v>42.059161395288257</v>
      </c>
      <c r="BN102">
        <f t="shared" si="70"/>
        <v>173.79832129008179</v>
      </c>
      <c r="BO102">
        <f t="shared" si="71"/>
        <v>877177.39744436566</v>
      </c>
      <c r="BP102">
        <f t="shared" si="72"/>
        <v>6089.3654930587863</v>
      </c>
    </row>
    <row r="103" spans="1:68" x14ac:dyDescent="0.25">
      <c r="A103">
        <v>2</v>
      </c>
      <c r="B103">
        <v>180</v>
      </c>
      <c r="C103">
        <f t="shared" si="73"/>
        <v>0.1157</v>
      </c>
      <c r="D103">
        <v>0</v>
      </c>
      <c r="E103">
        <f t="shared" si="22"/>
        <v>0</v>
      </c>
      <c r="F103" s="29">
        <v>499996.8</v>
      </c>
      <c r="G103">
        <f t="shared" si="23"/>
        <v>3599976.96</v>
      </c>
      <c r="H103">
        <f t="shared" si="24"/>
        <v>5142824.2285714289</v>
      </c>
      <c r="I103">
        <f t="shared" si="25"/>
        <v>42.856868571428571</v>
      </c>
      <c r="J103">
        <f t="shared" si="26"/>
        <v>173.24143137466308</v>
      </c>
      <c r="K103">
        <f t="shared" si="27"/>
        <v>890950.2306660118</v>
      </c>
      <c r="L103">
        <f t="shared" si="28"/>
        <v>0</v>
      </c>
      <c r="M103" s="7">
        <v>495532.80495324498</v>
      </c>
      <c r="N103">
        <f t="shared" si="29"/>
        <v>3567836.1956633641</v>
      </c>
      <c r="O103">
        <f t="shared" si="30"/>
        <v>5096908.8509476632</v>
      </c>
      <c r="P103">
        <f t="shared" si="31"/>
        <v>42.47424042456386</v>
      </c>
      <c r="Q103">
        <f t="shared" si="32"/>
        <v>173.50854913756862</v>
      </c>
      <c r="R103">
        <f t="shared" si="33"/>
        <v>884357.25981436111</v>
      </c>
      <c r="S103">
        <f t="shared" si="34"/>
        <v>0</v>
      </c>
      <c r="T103" s="29">
        <v>493304.70595454599</v>
      </c>
      <c r="U103">
        <f t="shared" si="17"/>
        <v>3551793.8828727314</v>
      </c>
      <c r="V103">
        <f t="shared" si="18"/>
        <v>5073991.2612467594</v>
      </c>
      <c r="W103">
        <f t="shared" si="19"/>
        <v>42.28326051038966</v>
      </c>
      <c r="X103">
        <f t="shared" si="35"/>
        <v>173.64187473802986</v>
      </c>
      <c r="Y103">
        <f t="shared" si="36"/>
        <v>881057.35500726791</v>
      </c>
      <c r="Z103">
        <f t="shared" si="37"/>
        <v>0</v>
      </c>
      <c r="AA103" s="29">
        <v>493293.00729600003</v>
      </c>
      <c r="AB103">
        <f t="shared" si="20"/>
        <v>3551709.6525312001</v>
      </c>
      <c r="AC103">
        <f t="shared" si="38"/>
        <v>5073870.9321874287</v>
      </c>
      <c r="AD103">
        <f t="shared" si="39"/>
        <v>42.282257768228568</v>
      </c>
      <c r="AE103">
        <f t="shared" si="40"/>
        <v>173.64257476557628</v>
      </c>
      <c r="AF103">
        <f t="shared" si="41"/>
        <v>881040.01269323984</v>
      </c>
      <c r="AG103">
        <f t="shared" si="42"/>
        <v>0</v>
      </c>
      <c r="AH103" s="29">
        <v>489941.11094400001</v>
      </c>
      <c r="AI103">
        <f t="shared" si="43"/>
        <v>3527575.9987968002</v>
      </c>
      <c r="AJ103">
        <f t="shared" si="44"/>
        <v>5039394.2839954291</v>
      </c>
      <c r="AK103">
        <f t="shared" si="45"/>
        <v>41.994952366628574</v>
      </c>
      <c r="AL103">
        <f t="shared" si="46"/>
        <v>173.84314646103289</v>
      </c>
      <c r="AM103">
        <f t="shared" si="47"/>
        <v>876064.1585875093</v>
      </c>
      <c r="AN103">
        <f t="shared" si="48"/>
        <v>0</v>
      </c>
      <c r="AO103" s="29">
        <v>463264.11068066698</v>
      </c>
      <c r="AP103">
        <f t="shared" si="49"/>
        <v>3335501.5969008026</v>
      </c>
      <c r="AQ103">
        <f t="shared" si="50"/>
        <v>4765002.2812868608</v>
      </c>
      <c r="AR103">
        <f t="shared" si="51"/>
        <v>39.708352344057175</v>
      </c>
      <c r="AS103">
        <f t="shared" si="52"/>
        <v>175.43945213716762</v>
      </c>
      <c r="AT103">
        <f t="shared" si="53"/>
        <v>835969.38966132072</v>
      </c>
      <c r="AU103">
        <f t="shared" si="54"/>
        <v>0</v>
      </c>
      <c r="AV103" s="29">
        <v>426598.75054822798</v>
      </c>
      <c r="AW103">
        <f t="shared" si="55"/>
        <v>3071511.0039472417</v>
      </c>
      <c r="AX103">
        <f t="shared" si="56"/>
        <v>4387872.8627817743</v>
      </c>
      <c r="AY103">
        <f t="shared" si="57"/>
        <v>36.565607189848123</v>
      </c>
      <c r="AZ103">
        <f t="shared" si="58"/>
        <v>177.63344403727584</v>
      </c>
      <c r="BA103">
        <f t="shared" si="59"/>
        <v>779432.9686136276</v>
      </c>
      <c r="BB103">
        <f t="shared" si="60"/>
        <v>0</v>
      </c>
      <c r="BC103" s="29">
        <v>496285.56161636102</v>
      </c>
      <c r="BD103">
        <f t="shared" si="61"/>
        <v>3573256.0436377996</v>
      </c>
      <c r="BE103">
        <f t="shared" si="62"/>
        <v>5104651.490911142</v>
      </c>
      <c r="BF103">
        <f t="shared" si="63"/>
        <v>42.538762424259517</v>
      </c>
      <c r="BG103">
        <f t="shared" si="64"/>
        <v>173.46350547740374</v>
      </c>
      <c r="BH103">
        <f t="shared" si="65"/>
        <v>885470.74185390212</v>
      </c>
      <c r="BI103">
        <f t="shared" si="66"/>
        <v>0</v>
      </c>
      <c r="BJ103" s="29">
        <v>494423.412379905</v>
      </c>
      <c r="BK103">
        <f t="shared" si="67"/>
        <v>3559848.5691353162</v>
      </c>
      <c r="BL103">
        <f t="shared" si="68"/>
        <v>5085497.9559075944</v>
      </c>
      <c r="BM103">
        <f t="shared" si="69"/>
        <v>42.379149632563291</v>
      </c>
      <c r="BN103">
        <f t="shared" si="70"/>
        <v>173.57493327538035</v>
      </c>
      <c r="BO103">
        <f t="shared" si="71"/>
        <v>882714.9683687439</v>
      </c>
      <c r="BP103">
        <f t="shared" si="72"/>
        <v>0</v>
      </c>
    </row>
    <row r="104" spans="1:68" x14ac:dyDescent="0.25">
      <c r="A104">
        <v>4</v>
      </c>
      <c r="B104">
        <v>0</v>
      </c>
      <c r="C104">
        <f>$AB$4</f>
        <v>0.19220000000000001</v>
      </c>
      <c r="D104" cm="1">
        <f t="array" ref="D104:D113">$AD$2:$AD$11</f>
        <v>0</v>
      </c>
      <c r="E104">
        <f t="shared" si="22"/>
        <v>0</v>
      </c>
      <c r="F104" s="29">
        <v>499996.8</v>
      </c>
      <c r="G104">
        <f t="shared" si="23"/>
        <v>3599976.96</v>
      </c>
      <c r="H104">
        <f t="shared" si="24"/>
        <v>5142824.2285714289</v>
      </c>
      <c r="I104">
        <f t="shared" si="25"/>
        <v>42.856868571428571</v>
      </c>
      <c r="J104">
        <f t="shared" si="26"/>
        <v>173.24143137466308</v>
      </c>
      <c r="K104">
        <f t="shared" si="27"/>
        <v>890950.2306660118</v>
      </c>
      <c r="L104">
        <f t="shared" si="28"/>
        <v>0</v>
      </c>
      <c r="M104" s="7">
        <v>499456.32228677598</v>
      </c>
      <c r="N104">
        <f t="shared" si="29"/>
        <v>3596085.5204647873</v>
      </c>
      <c r="O104">
        <f t="shared" si="30"/>
        <v>5137265.0292354105</v>
      </c>
      <c r="P104">
        <f t="shared" si="31"/>
        <v>42.810541910295086</v>
      </c>
      <c r="Q104">
        <f t="shared" si="32"/>
        <v>173.27377262866193</v>
      </c>
      <c r="R104">
        <f t="shared" si="33"/>
        <v>890153.2926089128</v>
      </c>
      <c r="S104">
        <f t="shared" si="34"/>
        <v>0</v>
      </c>
      <c r="T104" s="29">
        <v>499186.24755467603</v>
      </c>
      <c r="U104">
        <f t="shared" si="17"/>
        <v>3594140.9823936676</v>
      </c>
      <c r="V104">
        <f t="shared" si="18"/>
        <v>5134487.1177052399</v>
      </c>
      <c r="W104">
        <f t="shared" si="19"/>
        <v>42.787392647543662</v>
      </c>
      <c r="X104">
        <f t="shared" si="35"/>
        <v>173.28993343473365</v>
      </c>
      <c r="Y104">
        <f t="shared" si="36"/>
        <v>889754.93084863853</v>
      </c>
      <c r="Z104">
        <f t="shared" si="37"/>
        <v>0</v>
      </c>
      <c r="AA104" s="29">
        <v>499185.75513599999</v>
      </c>
      <c r="AB104">
        <f t="shared" si="20"/>
        <v>3594137.4369792002</v>
      </c>
      <c r="AC104">
        <f t="shared" si="38"/>
        <v>5134482.052827429</v>
      </c>
      <c r="AD104">
        <f t="shared" si="39"/>
        <v>42.787350440228579</v>
      </c>
      <c r="AE104">
        <f t="shared" si="40"/>
        <v>173.28996290021777</v>
      </c>
      <c r="AF104">
        <f t="shared" si="41"/>
        <v>889754.20444629923</v>
      </c>
      <c r="AG104">
        <f t="shared" si="42"/>
        <v>0</v>
      </c>
      <c r="AH104" s="29">
        <v>498780.23270400002</v>
      </c>
      <c r="AI104">
        <f t="shared" si="43"/>
        <v>3591217.6754688001</v>
      </c>
      <c r="AJ104">
        <f t="shared" si="44"/>
        <v>5130310.9649554286</v>
      </c>
      <c r="AK104">
        <f t="shared" si="45"/>
        <v>42.752591374628572</v>
      </c>
      <c r="AL104">
        <f t="shared" si="46"/>
        <v>173.31422866299516</v>
      </c>
      <c r="AM104">
        <f t="shared" si="47"/>
        <v>889155.88769255648</v>
      </c>
      <c r="AN104">
        <f t="shared" si="48"/>
        <v>0</v>
      </c>
      <c r="AO104" s="29">
        <v>495550.11382213898</v>
      </c>
      <c r="AP104">
        <f t="shared" si="49"/>
        <v>3567960.8195194006</v>
      </c>
      <c r="AQ104">
        <f t="shared" si="50"/>
        <v>5097086.885027715</v>
      </c>
      <c r="AR104">
        <f t="shared" si="51"/>
        <v>42.475724041897628</v>
      </c>
      <c r="AS104">
        <f t="shared" si="52"/>
        <v>173.50751340471297</v>
      </c>
      <c r="AT104">
        <f t="shared" si="53"/>
        <v>884382.87102893298</v>
      </c>
      <c r="AU104">
        <f t="shared" si="54"/>
        <v>0</v>
      </c>
      <c r="AV104" s="29">
        <v>491106.26030770101</v>
      </c>
      <c r="AW104">
        <f t="shared" si="55"/>
        <v>3535965.0742154475</v>
      </c>
      <c r="AX104">
        <f t="shared" si="56"/>
        <v>5051378.6774506392</v>
      </c>
      <c r="AY104">
        <f t="shared" si="57"/>
        <v>42.09482231208866</v>
      </c>
      <c r="AZ104">
        <f t="shared" si="58"/>
        <v>173.77342593307017</v>
      </c>
      <c r="BA104">
        <f t="shared" si="59"/>
        <v>877795.37846585852</v>
      </c>
      <c r="BB104">
        <f t="shared" si="60"/>
        <v>0</v>
      </c>
      <c r="BC104" s="29">
        <v>499547.45986271597</v>
      </c>
      <c r="BD104">
        <f t="shared" si="61"/>
        <v>3596741.711011555</v>
      </c>
      <c r="BE104">
        <f t="shared" si="62"/>
        <v>5138202.4443022218</v>
      </c>
      <c r="BF104">
        <f t="shared" si="63"/>
        <v>42.818353702518515</v>
      </c>
      <c r="BG104">
        <f t="shared" si="64"/>
        <v>173.26831911333613</v>
      </c>
      <c r="BH104">
        <f t="shared" si="65"/>
        <v>890287.70078828104</v>
      </c>
      <c r="BI104">
        <f t="shared" si="66"/>
        <v>0</v>
      </c>
      <c r="BJ104" s="29">
        <v>499322.51491930801</v>
      </c>
      <c r="BK104">
        <f t="shared" si="67"/>
        <v>3595122.1074190177</v>
      </c>
      <c r="BL104">
        <f t="shared" si="68"/>
        <v>5135888.7248843107</v>
      </c>
      <c r="BM104">
        <f t="shared" si="69"/>
        <v>42.799072707369255</v>
      </c>
      <c r="BN104">
        <f t="shared" si="70"/>
        <v>173.28177943070449</v>
      </c>
      <c r="BO104">
        <f t="shared" si="71"/>
        <v>889955.93720604526</v>
      </c>
      <c r="BP104">
        <f t="shared" si="72"/>
        <v>0</v>
      </c>
    </row>
    <row r="105" spans="1:68" x14ac:dyDescent="0.25">
      <c r="A105">
        <v>4</v>
      </c>
      <c r="B105">
        <v>20</v>
      </c>
      <c r="C105">
        <f t="shared" ref="C105:C113" si="74">$AB$4</f>
        <v>0.19220000000000001</v>
      </c>
      <c r="D105">
        <v>0.06</v>
      </c>
      <c r="E105">
        <f t="shared" si="22"/>
        <v>1.1532</v>
      </c>
      <c r="F105" s="29">
        <v>499996.8</v>
      </c>
      <c r="G105">
        <f t="shared" si="23"/>
        <v>3599976.96</v>
      </c>
      <c r="H105">
        <f t="shared" si="24"/>
        <v>5142824.2285714289</v>
      </c>
      <c r="I105">
        <f t="shared" si="25"/>
        <v>42.856868571428571</v>
      </c>
      <c r="J105">
        <f t="shared" si="26"/>
        <v>173.24143137466308</v>
      </c>
      <c r="K105">
        <f t="shared" si="27"/>
        <v>890950.2306660118</v>
      </c>
      <c r="L105">
        <f t="shared" si="28"/>
        <v>10274.438060040449</v>
      </c>
      <c r="M105" s="7">
        <v>500268.16257575201</v>
      </c>
      <c r="N105">
        <f t="shared" si="29"/>
        <v>3601930.7705454146</v>
      </c>
      <c r="O105">
        <f t="shared" si="30"/>
        <v>5145615.3864934491</v>
      </c>
      <c r="P105">
        <f t="shared" si="31"/>
        <v>42.880128220778744</v>
      </c>
      <c r="Q105">
        <f t="shared" si="32"/>
        <v>173.22519350624879</v>
      </c>
      <c r="R105">
        <f t="shared" si="33"/>
        <v>891350.22103405884</v>
      </c>
      <c r="S105">
        <f t="shared" si="34"/>
        <v>10279.050748964766</v>
      </c>
      <c r="T105" s="29">
        <v>500403.82772425702</v>
      </c>
      <c r="U105">
        <f t="shared" si="17"/>
        <v>3602907.5596146504</v>
      </c>
      <c r="V105">
        <f t="shared" si="18"/>
        <v>5147010.7994495006</v>
      </c>
      <c r="W105">
        <f t="shared" si="19"/>
        <v>42.891756662079167</v>
      </c>
      <c r="X105">
        <f t="shared" si="35"/>
        <v>173.21707553779379</v>
      </c>
      <c r="Y105">
        <f t="shared" si="36"/>
        <v>891550.15844208456</v>
      </c>
      <c r="Z105">
        <f t="shared" si="37"/>
        <v>10281.35642715412</v>
      </c>
      <c r="AA105" s="29">
        <v>500403.87613742001</v>
      </c>
      <c r="AB105">
        <f t="shared" si="20"/>
        <v>3602907.9081894243</v>
      </c>
      <c r="AC105">
        <f t="shared" si="38"/>
        <v>5147011.2974134637</v>
      </c>
      <c r="AD105">
        <f t="shared" si="39"/>
        <v>42.891760811778866</v>
      </c>
      <c r="AE105">
        <f t="shared" si="40"/>
        <v>173.21707264083363</v>
      </c>
      <c r="AF105">
        <f t="shared" si="41"/>
        <v>891550.22978725936</v>
      </c>
      <c r="AG105">
        <f t="shared" si="42"/>
        <v>10281.357249906676</v>
      </c>
      <c r="AH105" s="29">
        <v>500607.41420613002</v>
      </c>
      <c r="AI105">
        <f t="shared" si="43"/>
        <v>3604373.382284136</v>
      </c>
      <c r="AJ105">
        <f t="shared" si="44"/>
        <v>5149104.8318344802</v>
      </c>
      <c r="AK105">
        <f t="shared" si="45"/>
        <v>42.909206931954003</v>
      </c>
      <c r="AL105">
        <f t="shared" si="46"/>
        <v>173.20489327391891</v>
      </c>
      <c r="AM105">
        <f t="shared" si="47"/>
        <v>891850.15285411128</v>
      </c>
      <c r="AN105">
        <f t="shared" si="48"/>
        <v>10284.815962713612</v>
      </c>
      <c r="AO105" s="29">
        <v>489994.868682264</v>
      </c>
      <c r="AP105">
        <f t="shared" si="49"/>
        <v>3527963.054512301</v>
      </c>
      <c r="AQ105">
        <f t="shared" si="50"/>
        <v>5039947.2207318591</v>
      </c>
      <c r="AR105">
        <f t="shared" si="51"/>
        <v>41.999560172765491</v>
      </c>
      <c r="AS105">
        <f t="shared" si="52"/>
        <v>173.83992969071087</v>
      </c>
      <c r="AT105">
        <f t="shared" si="53"/>
        <v>876144.07049692015</v>
      </c>
      <c r="AU105">
        <f t="shared" si="54"/>
        <v>10103.693420970483</v>
      </c>
      <c r="AV105" s="29">
        <v>479997.21966222097</v>
      </c>
      <c r="AW105">
        <f t="shared" si="55"/>
        <v>3455979.981567991</v>
      </c>
      <c r="AX105">
        <f t="shared" si="56"/>
        <v>4937114.259382844</v>
      </c>
      <c r="AY105">
        <f t="shared" si="57"/>
        <v>41.142618828190365</v>
      </c>
      <c r="AZ105">
        <f t="shared" si="58"/>
        <v>174.438171761452</v>
      </c>
      <c r="BA105">
        <f t="shared" si="59"/>
        <v>861221.18518413836</v>
      </c>
      <c r="BB105">
        <f t="shared" si="60"/>
        <v>9931.6027075434849</v>
      </c>
      <c r="BC105" s="29">
        <v>495860.53989836999</v>
      </c>
      <c r="BD105">
        <f t="shared" si="61"/>
        <v>3570195.8872682638</v>
      </c>
      <c r="BE105">
        <f t="shared" si="62"/>
        <v>5100279.838954662</v>
      </c>
      <c r="BF105">
        <f t="shared" si="63"/>
        <v>42.502331991288848</v>
      </c>
      <c r="BG105">
        <f t="shared" si="64"/>
        <v>173.48893804381723</v>
      </c>
      <c r="BH105">
        <f t="shared" si="65"/>
        <v>884842.13298653543</v>
      </c>
      <c r="BI105">
        <f t="shared" si="66"/>
        <v>10203.999477600728</v>
      </c>
      <c r="BJ105" s="29">
        <v>493790.11025867099</v>
      </c>
      <c r="BK105">
        <f t="shared" si="67"/>
        <v>3555288.7938624313</v>
      </c>
      <c r="BL105">
        <f t="shared" si="68"/>
        <v>5078983.9912320441</v>
      </c>
      <c r="BM105">
        <f t="shared" si="69"/>
        <v>42.324866593600369</v>
      </c>
      <c r="BN105">
        <f t="shared" si="70"/>
        <v>173.61282898182617</v>
      </c>
      <c r="BO105">
        <f t="shared" si="71"/>
        <v>881776.7790712018</v>
      </c>
      <c r="BP105">
        <f t="shared" si="72"/>
        <v>10168.649816249099</v>
      </c>
    </row>
    <row r="106" spans="1:68" x14ac:dyDescent="0.25">
      <c r="A106">
        <v>4</v>
      </c>
      <c r="B106">
        <v>40</v>
      </c>
      <c r="C106">
        <f t="shared" si="74"/>
        <v>0.19220000000000001</v>
      </c>
      <c r="D106">
        <v>0.113</v>
      </c>
      <c r="E106">
        <f t="shared" si="22"/>
        <v>2.1718600000000001</v>
      </c>
      <c r="F106" s="29">
        <v>499996.8</v>
      </c>
      <c r="G106">
        <f t="shared" si="23"/>
        <v>3599976.96</v>
      </c>
      <c r="H106">
        <f t="shared" si="24"/>
        <v>5142824.2285714289</v>
      </c>
      <c r="I106">
        <f t="shared" si="25"/>
        <v>42.856868571428571</v>
      </c>
      <c r="J106">
        <f t="shared" si="26"/>
        <v>173.24143137466308</v>
      </c>
      <c r="K106">
        <f t="shared" si="27"/>
        <v>890950.2306660118</v>
      </c>
      <c r="L106">
        <f t="shared" si="28"/>
        <v>19350.191679742846</v>
      </c>
      <c r="M106" s="7">
        <v>499408.51954892999</v>
      </c>
      <c r="N106">
        <f t="shared" si="29"/>
        <v>3595741.3407522961</v>
      </c>
      <c r="O106">
        <f t="shared" si="30"/>
        <v>5136773.3439318519</v>
      </c>
      <c r="P106">
        <f t="shared" si="31"/>
        <v>42.806444532765433</v>
      </c>
      <c r="Q106">
        <f t="shared" si="32"/>
        <v>173.27663306203169</v>
      </c>
      <c r="R106">
        <f t="shared" si="33"/>
        <v>890082.7898393051</v>
      </c>
      <c r="S106">
        <f t="shared" si="34"/>
        <v>19331.352079403932</v>
      </c>
      <c r="T106" s="29">
        <v>499114.39957550803</v>
      </c>
      <c r="U106">
        <f t="shared" si="17"/>
        <v>3593623.6769436579</v>
      </c>
      <c r="V106">
        <f t="shared" si="18"/>
        <v>5133748.1099195117</v>
      </c>
      <c r="W106">
        <f t="shared" si="19"/>
        <v>42.781234249329266</v>
      </c>
      <c r="X106">
        <f t="shared" si="35"/>
        <v>173.29423269386447</v>
      </c>
      <c r="Y106">
        <f t="shared" si="36"/>
        <v>889648.93955207884</v>
      </c>
      <c r="Z106">
        <f t="shared" si="37"/>
        <v>19321.92945855578</v>
      </c>
      <c r="AA106" s="29">
        <v>499114.33881068003</v>
      </c>
      <c r="AB106">
        <f t="shared" si="20"/>
        <v>3593623.2394368961</v>
      </c>
      <c r="AC106">
        <f t="shared" si="38"/>
        <v>5133747.4849098511</v>
      </c>
      <c r="AD106">
        <f t="shared" si="39"/>
        <v>42.781229040915427</v>
      </c>
      <c r="AE106">
        <f t="shared" si="40"/>
        <v>173.29423632992697</v>
      </c>
      <c r="AF106">
        <f t="shared" si="41"/>
        <v>889648.84990813606</v>
      </c>
      <c r="AG106">
        <f t="shared" si="42"/>
        <v>19321.927511614846</v>
      </c>
      <c r="AH106" s="29">
        <v>498673.10821602098</v>
      </c>
      <c r="AI106">
        <f t="shared" si="43"/>
        <v>3590446.3791553513</v>
      </c>
      <c r="AJ106">
        <f t="shared" si="44"/>
        <v>5129209.1130790738</v>
      </c>
      <c r="AK106">
        <f t="shared" si="45"/>
        <v>42.743409275658948</v>
      </c>
      <c r="AL106">
        <f t="shared" si="46"/>
        <v>173.32063880755885</v>
      </c>
      <c r="AM106">
        <f t="shared" si="47"/>
        <v>888997.80005641747</v>
      </c>
      <c r="AN106">
        <f t="shared" si="48"/>
        <v>19307.787620305309</v>
      </c>
      <c r="AO106" s="29">
        <v>480208.54165019799</v>
      </c>
      <c r="AP106">
        <f t="shared" si="49"/>
        <v>3457501.4998814254</v>
      </c>
      <c r="AQ106">
        <f t="shared" si="50"/>
        <v>4939287.8569734646</v>
      </c>
      <c r="AR106">
        <f t="shared" si="51"/>
        <v>41.160732141445536</v>
      </c>
      <c r="AS106">
        <f t="shared" si="52"/>
        <v>174.42552661823612</v>
      </c>
      <c r="AT106">
        <f t="shared" si="53"/>
        <v>861537.88557165547</v>
      </c>
      <c r="AU106">
        <f t="shared" si="54"/>
        <v>18711.396721576559</v>
      </c>
      <c r="AV106" s="29">
        <v>460429.10320774699</v>
      </c>
      <c r="AW106">
        <f t="shared" si="55"/>
        <v>3315089.5430957782</v>
      </c>
      <c r="AX106">
        <f t="shared" si="56"/>
        <v>4735842.20442254</v>
      </c>
      <c r="AY106">
        <f t="shared" si="57"/>
        <v>39.465351703521165</v>
      </c>
      <c r="AZ106">
        <f t="shared" si="58"/>
        <v>175.60909409376825</v>
      </c>
      <c r="BA106">
        <f t="shared" si="59"/>
        <v>831656.95928967663</v>
      </c>
      <c r="BB106">
        <f t="shared" si="60"/>
        <v>18062.424836028771</v>
      </c>
      <c r="BC106" s="29">
        <v>487855.939601694</v>
      </c>
      <c r="BD106">
        <f t="shared" si="61"/>
        <v>3512562.7651321967</v>
      </c>
      <c r="BE106">
        <f t="shared" si="62"/>
        <v>5017946.8073317092</v>
      </c>
      <c r="BF106">
        <f t="shared" si="63"/>
        <v>41.816223394430914</v>
      </c>
      <c r="BG106">
        <f t="shared" si="64"/>
        <v>173.9679195170954</v>
      </c>
      <c r="BH106">
        <f t="shared" si="65"/>
        <v>872961.76631894859</v>
      </c>
      <c r="BI106">
        <f t="shared" si="66"/>
        <v>18959.507417974717</v>
      </c>
      <c r="BJ106" s="29">
        <v>481777.70169131103</v>
      </c>
      <c r="BK106">
        <f t="shared" si="67"/>
        <v>3468799.4521774394</v>
      </c>
      <c r="BL106">
        <f t="shared" si="68"/>
        <v>4955427.7888249131</v>
      </c>
      <c r="BM106">
        <f t="shared" si="69"/>
        <v>41.295231573540939</v>
      </c>
      <c r="BN106">
        <f t="shared" si="70"/>
        <v>174.33163078828275</v>
      </c>
      <c r="BO106">
        <f t="shared" si="71"/>
        <v>863887.80767942115</v>
      </c>
      <c r="BP106">
        <f t="shared" si="72"/>
        <v>18762.433739866276</v>
      </c>
    </row>
    <row r="107" spans="1:68" x14ac:dyDescent="0.25">
      <c r="A107">
        <v>4</v>
      </c>
      <c r="B107">
        <v>60</v>
      </c>
      <c r="C107">
        <f t="shared" si="74"/>
        <v>0.19220000000000001</v>
      </c>
      <c r="D107">
        <v>0.153</v>
      </c>
      <c r="E107">
        <f t="shared" si="22"/>
        <v>2.9406600000000003</v>
      </c>
      <c r="F107" s="29">
        <v>499996.8</v>
      </c>
      <c r="G107">
        <f t="shared" si="23"/>
        <v>3599976.96</v>
      </c>
      <c r="H107">
        <f t="shared" si="24"/>
        <v>5142824.2285714289</v>
      </c>
      <c r="I107">
        <f t="shared" si="25"/>
        <v>42.856868571428571</v>
      </c>
      <c r="J107">
        <f t="shared" si="26"/>
        <v>173.24143137466308</v>
      </c>
      <c r="K107">
        <f t="shared" si="27"/>
        <v>890950.2306660118</v>
      </c>
      <c r="L107">
        <f t="shared" si="28"/>
        <v>26199.817053103143</v>
      </c>
      <c r="M107" s="7">
        <v>498516.69588848198</v>
      </c>
      <c r="N107">
        <f t="shared" si="29"/>
        <v>3589320.2103970703</v>
      </c>
      <c r="O107">
        <f t="shared" si="30"/>
        <v>5127600.3005672432</v>
      </c>
      <c r="P107">
        <f t="shared" si="31"/>
        <v>42.730002504727025</v>
      </c>
      <c r="Q107">
        <f t="shared" si="32"/>
        <v>173.32999825141698</v>
      </c>
      <c r="R107">
        <f t="shared" si="33"/>
        <v>888766.9511312854</v>
      </c>
      <c r="S107">
        <f t="shared" si="34"/>
        <v>26135.614225137258</v>
      </c>
      <c r="T107" s="29">
        <v>497776.763306782</v>
      </c>
      <c r="U107">
        <f t="shared" si="17"/>
        <v>3583992.6958088307</v>
      </c>
      <c r="V107">
        <f t="shared" si="18"/>
        <v>5119989.5654411865</v>
      </c>
      <c r="W107">
        <f t="shared" si="19"/>
        <v>42.666579712009884</v>
      </c>
      <c r="X107">
        <f t="shared" si="35"/>
        <v>173.37427454067233</v>
      </c>
      <c r="Y107">
        <f t="shared" si="36"/>
        <v>887674.47656417789</v>
      </c>
      <c r="Z107">
        <f t="shared" si="37"/>
        <v>26103.488262532155</v>
      </c>
      <c r="AA107" s="29">
        <v>497776.404819533</v>
      </c>
      <c r="AB107">
        <f t="shared" si="20"/>
        <v>3583990.1147006378</v>
      </c>
      <c r="AC107">
        <f t="shared" si="38"/>
        <v>5119985.8781437688</v>
      </c>
      <c r="AD107">
        <f t="shared" si="39"/>
        <v>42.66654898453141</v>
      </c>
      <c r="AE107">
        <f t="shared" si="40"/>
        <v>173.37429599193089</v>
      </c>
      <c r="AF107">
        <f t="shared" si="41"/>
        <v>887673.94711180404</v>
      </c>
      <c r="AG107">
        <f t="shared" si="42"/>
        <v>26103.472693137977</v>
      </c>
      <c r="AH107" s="29">
        <v>496666.20722929999</v>
      </c>
      <c r="AI107">
        <f t="shared" si="43"/>
        <v>3575996.6920509599</v>
      </c>
      <c r="AJ107">
        <f t="shared" si="44"/>
        <v>5108566.7029299429</v>
      </c>
      <c r="AK107">
        <f t="shared" si="45"/>
        <v>42.571389191082858</v>
      </c>
      <c r="AL107">
        <f t="shared" si="46"/>
        <v>173.44072830056479</v>
      </c>
      <c r="AM107">
        <f t="shared" si="47"/>
        <v>886033.52952818433</v>
      </c>
      <c r="AN107">
        <f t="shared" si="48"/>
        <v>26055.233589423508</v>
      </c>
      <c r="AO107" s="29">
        <v>466802.04047047801</v>
      </c>
      <c r="AP107">
        <f t="shared" si="49"/>
        <v>3360974.6913874419</v>
      </c>
      <c r="AQ107">
        <f t="shared" si="50"/>
        <v>4801392.4162677741</v>
      </c>
      <c r="AR107">
        <f t="shared" si="51"/>
        <v>40.011603468898116</v>
      </c>
      <c r="AS107">
        <f t="shared" si="52"/>
        <v>175.22774852171264</v>
      </c>
      <c r="AT107">
        <f t="shared" si="53"/>
        <v>841337.18287182774</v>
      </c>
      <c r="AU107">
        <f t="shared" si="54"/>
        <v>24740.866001838691</v>
      </c>
      <c r="AV107" s="29">
        <v>433625.37196487002</v>
      </c>
      <c r="AW107">
        <f t="shared" si="55"/>
        <v>3122102.6781470641</v>
      </c>
      <c r="AX107">
        <f t="shared" si="56"/>
        <v>4460146.6830672342</v>
      </c>
      <c r="AY107">
        <f t="shared" si="57"/>
        <v>37.167889025560285</v>
      </c>
      <c r="AZ107">
        <f t="shared" si="58"/>
        <v>177.21298313309941</v>
      </c>
      <c r="BA107">
        <f t="shared" si="59"/>
        <v>790395.898917543</v>
      </c>
      <c r="BB107">
        <f t="shared" si="60"/>
        <v>23242.856041108622</v>
      </c>
      <c r="BC107" s="29">
        <v>478406.86228264601</v>
      </c>
      <c r="BD107">
        <f t="shared" si="61"/>
        <v>3444529.4084350513</v>
      </c>
      <c r="BE107">
        <f t="shared" si="62"/>
        <v>4920756.297764359</v>
      </c>
      <c r="BF107">
        <f t="shared" si="63"/>
        <v>41.006302481369659</v>
      </c>
      <c r="BG107">
        <f t="shared" si="64"/>
        <v>174.53333600357212</v>
      </c>
      <c r="BH107">
        <f t="shared" si="65"/>
        <v>858836.01230940048</v>
      </c>
      <c r="BI107">
        <f t="shared" si="66"/>
        <v>25255.447079577618</v>
      </c>
      <c r="BJ107" s="29">
        <v>467594.70635816001</v>
      </c>
      <c r="BK107">
        <f t="shared" si="67"/>
        <v>3366681.8857787522</v>
      </c>
      <c r="BL107">
        <f t="shared" si="68"/>
        <v>4809545.5511125028</v>
      </c>
      <c r="BM107">
        <f t="shared" si="69"/>
        <v>40.079546259270856</v>
      </c>
      <c r="BN107">
        <f t="shared" si="70"/>
        <v>175.18031676239582</v>
      </c>
      <c r="BO107">
        <f t="shared" si="71"/>
        <v>842537.71312705986</v>
      </c>
      <c r="BP107">
        <f t="shared" si="72"/>
        <v>24776.1695148422</v>
      </c>
    </row>
    <row r="108" spans="1:68" x14ac:dyDescent="0.25">
      <c r="A108">
        <v>4</v>
      </c>
      <c r="B108">
        <v>80</v>
      </c>
      <c r="C108">
        <f t="shared" si="74"/>
        <v>0.19220000000000001</v>
      </c>
      <c r="D108">
        <v>0.17399999999999999</v>
      </c>
      <c r="E108">
        <f t="shared" si="22"/>
        <v>3.3442800000000004</v>
      </c>
      <c r="F108" s="29">
        <v>499996.8</v>
      </c>
      <c r="G108">
        <f t="shared" si="23"/>
        <v>3599976.96</v>
      </c>
      <c r="H108">
        <f t="shared" si="24"/>
        <v>5142824.2285714289</v>
      </c>
      <c r="I108">
        <f t="shared" si="25"/>
        <v>42.856868571428571</v>
      </c>
      <c r="J108">
        <f t="shared" si="26"/>
        <v>173.24143137466308</v>
      </c>
      <c r="K108">
        <f t="shared" si="27"/>
        <v>890950.2306660118</v>
      </c>
      <c r="L108">
        <f t="shared" si="28"/>
        <v>29795.870374117301</v>
      </c>
      <c r="M108" s="7">
        <v>498823.97792558401</v>
      </c>
      <c r="N108">
        <f t="shared" si="29"/>
        <v>3591532.6410642047</v>
      </c>
      <c r="O108">
        <f t="shared" si="30"/>
        <v>5130760.9158060066</v>
      </c>
      <c r="P108">
        <f t="shared" si="31"/>
        <v>42.756340965050057</v>
      </c>
      <c r="Q108">
        <f t="shared" si="32"/>
        <v>173.31161102439901</v>
      </c>
      <c r="R108">
        <f t="shared" si="33"/>
        <v>889220.44009935984</v>
      </c>
      <c r="S108">
        <f t="shared" si="34"/>
        <v>29738.021334154873</v>
      </c>
      <c r="T108" s="29">
        <v>498237.59798421199</v>
      </c>
      <c r="U108">
        <f t="shared" si="17"/>
        <v>3587310.7054863265</v>
      </c>
      <c r="V108">
        <f t="shared" si="18"/>
        <v>5124729.5792661803</v>
      </c>
      <c r="W108">
        <f t="shared" si="19"/>
        <v>42.706079827218169</v>
      </c>
      <c r="X108">
        <f t="shared" si="35"/>
        <v>173.3466989885458</v>
      </c>
      <c r="Y108">
        <f t="shared" si="36"/>
        <v>888354.95577475149</v>
      </c>
      <c r="Z108">
        <f t="shared" si="37"/>
        <v>29709.077114983862</v>
      </c>
      <c r="AA108" s="29">
        <v>498237.50467658899</v>
      </c>
      <c r="AB108">
        <f t="shared" si="20"/>
        <v>3587310.0336714406</v>
      </c>
      <c r="AC108">
        <f t="shared" si="38"/>
        <v>5124728.6195306294</v>
      </c>
      <c r="AD108">
        <f t="shared" si="39"/>
        <v>42.706071829421916</v>
      </c>
      <c r="AE108">
        <f t="shared" si="40"/>
        <v>173.34670457191299</v>
      </c>
      <c r="AF108">
        <f t="shared" si="41"/>
        <v>888354.81802100351</v>
      </c>
      <c r="AG108">
        <f t="shared" si="42"/>
        <v>29709.072508112818</v>
      </c>
      <c r="AH108" s="29">
        <v>497357.85701488401</v>
      </c>
      <c r="AI108">
        <f t="shared" si="43"/>
        <v>3580976.570507165</v>
      </c>
      <c r="AJ108">
        <f t="shared" si="44"/>
        <v>5115680.8150102356</v>
      </c>
      <c r="AK108">
        <f t="shared" si="45"/>
        <v>42.630673458418634</v>
      </c>
      <c r="AL108">
        <f t="shared" si="46"/>
        <v>173.39934117053792</v>
      </c>
      <c r="AM108">
        <f t="shared" si="47"/>
        <v>887055.68296153529</v>
      </c>
      <c r="AN108">
        <f t="shared" si="48"/>
        <v>29665.625794146035</v>
      </c>
      <c r="AO108" s="29">
        <v>452099.57553612802</v>
      </c>
      <c r="AP108">
        <f t="shared" si="49"/>
        <v>3255116.943860122</v>
      </c>
      <c r="AQ108">
        <f t="shared" si="50"/>
        <v>4650167.0626573171</v>
      </c>
      <c r="AR108">
        <f t="shared" si="51"/>
        <v>38.751392188810975</v>
      </c>
      <c r="AS108">
        <f t="shared" si="52"/>
        <v>176.1075186606414</v>
      </c>
      <c r="AT108">
        <f t="shared" si="53"/>
        <v>818929.38276202348</v>
      </c>
      <c r="AU108">
        <f t="shared" si="54"/>
        <v>27387.291561833801</v>
      </c>
      <c r="AV108" s="29">
        <v>404236.27183780802</v>
      </c>
      <c r="AW108">
        <f t="shared" si="55"/>
        <v>2910501.157232218</v>
      </c>
      <c r="AX108">
        <f t="shared" si="56"/>
        <v>4157858.7960460256</v>
      </c>
      <c r="AY108">
        <f t="shared" si="57"/>
        <v>34.648823300383548</v>
      </c>
      <c r="AZ108">
        <f t="shared" si="58"/>
        <v>178.97157618652469</v>
      </c>
      <c r="BA108">
        <f t="shared" si="59"/>
        <v>744138.54228936299</v>
      </c>
      <c r="BB108">
        <f t="shared" si="60"/>
        <v>24886.076442074711</v>
      </c>
      <c r="BC108" s="29">
        <v>471270.196220688</v>
      </c>
      <c r="BD108">
        <f t="shared" si="61"/>
        <v>3393145.4127889536</v>
      </c>
      <c r="BE108">
        <f t="shared" si="62"/>
        <v>4847350.5896985056</v>
      </c>
      <c r="BF108">
        <f t="shared" si="63"/>
        <v>40.394588247487548</v>
      </c>
      <c r="BG108">
        <f t="shared" si="64"/>
        <v>174.96038178948982</v>
      </c>
      <c r="BH108">
        <f t="shared" si="65"/>
        <v>848094.30984115915</v>
      </c>
      <c r="BI108">
        <f t="shared" si="66"/>
        <v>28362.648385155917</v>
      </c>
      <c r="BJ108" s="29">
        <v>456877.68542629102</v>
      </c>
      <c r="BK108">
        <f t="shared" si="67"/>
        <v>3289519.3350692955</v>
      </c>
      <c r="BL108">
        <f t="shared" si="68"/>
        <v>4699313.3358132793</v>
      </c>
      <c r="BM108">
        <f t="shared" si="69"/>
        <v>39.16094446511066</v>
      </c>
      <c r="BN108">
        <f t="shared" si="70"/>
        <v>175.82160480737556</v>
      </c>
      <c r="BO108">
        <f t="shared" si="71"/>
        <v>826240.81219539209</v>
      </c>
      <c r="BP108">
        <f t="shared" si="72"/>
        <v>27631.806234088061</v>
      </c>
    </row>
    <row r="109" spans="1:68" x14ac:dyDescent="0.25">
      <c r="A109">
        <v>4</v>
      </c>
      <c r="B109">
        <v>100</v>
      </c>
      <c r="C109">
        <f t="shared" si="74"/>
        <v>0.19220000000000001</v>
      </c>
      <c r="D109">
        <v>0.17399999999999999</v>
      </c>
      <c r="E109">
        <f t="shared" si="22"/>
        <v>3.3442800000000004</v>
      </c>
      <c r="F109" s="29">
        <v>499996.8</v>
      </c>
      <c r="G109">
        <f t="shared" si="23"/>
        <v>3599976.96</v>
      </c>
      <c r="H109">
        <f t="shared" si="24"/>
        <v>5142824.2285714289</v>
      </c>
      <c r="I109">
        <f t="shared" si="25"/>
        <v>42.856868571428571</v>
      </c>
      <c r="J109">
        <f t="shared" si="26"/>
        <v>173.24143137466308</v>
      </c>
      <c r="K109">
        <f t="shared" si="27"/>
        <v>890950.2306660118</v>
      </c>
      <c r="L109">
        <f t="shared" si="28"/>
        <v>29795.870374117301</v>
      </c>
      <c r="M109" s="7">
        <v>500407.10415570799</v>
      </c>
      <c r="N109">
        <f t="shared" si="29"/>
        <v>3602931.1499210978</v>
      </c>
      <c r="O109">
        <f t="shared" si="30"/>
        <v>5147044.499887283</v>
      </c>
      <c r="P109">
        <f t="shared" si="31"/>
        <v>42.892037499060692</v>
      </c>
      <c r="Q109">
        <f t="shared" si="32"/>
        <v>173.21687948178783</v>
      </c>
      <c r="R109">
        <f t="shared" si="33"/>
        <v>891554.98682437441</v>
      </c>
      <c r="S109">
        <f t="shared" si="34"/>
        <v>29816.095113370189</v>
      </c>
      <c r="T109" s="29">
        <v>500611.97831948003</v>
      </c>
      <c r="U109">
        <f t="shared" si="17"/>
        <v>3604406.2439002562</v>
      </c>
      <c r="V109">
        <f t="shared" si="18"/>
        <v>5149151.7770003658</v>
      </c>
      <c r="W109">
        <f t="shared" si="19"/>
        <v>42.909598141669719</v>
      </c>
      <c r="X109">
        <f t="shared" si="35"/>
        <v>173.20462016524945</v>
      </c>
      <c r="Y109">
        <f t="shared" si="36"/>
        <v>891856.87770856766</v>
      </c>
      <c r="Z109">
        <f t="shared" si="37"/>
        <v>29826.191189832087</v>
      </c>
      <c r="AA109" s="29">
        <v>500612.812213636</v>
      </c>
      <c r="AB109">
        <f t="shared" si="20"/>
        <v>3604412.2479381794</v>
      </c>
      <c r="AC109">
        <f t="shared" si="38"/>
        <v>5149160.3541973988</v>
      </c>
      <c r="AD109">
        <f t="shared" si="39"/>
        <v>42.909669618311661</v>
      </c>
      <c r="AE109">
        <f t="shared" si="40"/>
        <v>173.20457026646167</v>
      </c>
      <c r="AF109">
        <f t="shared" si="41"/>
        <v>891858.10638186208</v>
      </c>
      <c r="AG109">
        <f t="shared" si="42"/>
        <v>29826.232280107339</v>
      </c>
      <c r="AH109" s="29">
        <v>500920.81832045398</v>
      </c>
      <c r="AI109">
        <f t="shared" si="43"/>
        <v>3606629.8919072687</v>
      </c>
      <c r="AJ109">
        <f t="shared" si="44"/>
        <v>5152328.4170103837</v>
      </c>
      <c r="AK109">
        <f t="shared" si="45"/>
        <v>42.936070141753198</v>
      </c>
      <c r="AL109">
        <f t="shared" si="46"/>
        <v>173.18613971236098</v>
      </c>
      <c r="AM109">
        <f t="shared" si="47"/>
        <v>892311.86907232797</v>
      </c>
      <c r="AN109">
        <f t="shared" si="48"/>
        <v>29841.407375012051</v>
      </c>
      <c r="AO109" s="29">
        <v>439114.71835770301</v>
      </c>
      <c r="AP109">
        <f t="shared" si="49"/>
        <v>3161625.9721754617</v>
      </c>
      <c r="AQ109">
        <f t="shared" si="50"/>
        <v>4516608.5316792307</v>
      </c>
      <c r="AR109">
        <f t="shared" si="51"/>
        <v>37.638404430660259</v>
      </c>
      <c r="AS109">
        <f t="shared" si="52"/>
        <v>176.88451011444471</v>
      </c>
      <c r="AT109">
        <f t="shared" si="53"/>
        <v>798918.08750480216</v>
      </c>
      <c r="AU109">
        <f t="shared" si="54"/>
        <v>26718.057816805598</v>
      </c>
      <c r="AV109" s="29">
        <v>378288.55625036499</v>
      </c>
      <c r="AW109">
        <f t="shared" si="55"/>
        <v>2723677.6050026282</v>
      </c>
      <c r="AX109">
        <f t="shared" si="56"/>
        <v>3890968.0071466113</v>
      </c>
      <c r="AY109">
        <f t="shared" si="57"/>
        <v>32.424733392888427</v>
      </c>
      <c r="AZ109">
        <f t="shared" si="58"/>
        <v>180.5242427257194</v>
      </c>
      <c r="BA109">
        <f t="shared" si="59"/>
        <v>702414.05296014354</v>
      </c>
      <c r="BB109">
        <f t="shared" si="60"/>
        <v>23490.692690335491</v>
      </c>
      <c r="BC109" s="29">
        <v>469202.15524324001</v>
      </c>
      <c r="BD109">
        <f t="shared" si="61"/>
        <v>3378255.5177513282</v>
      </c>
      <c r="BE109">
        <f t="shared" si="62"/>
        <v>4826079.3110733265</v>
      </c>
      <c r="BF109">
        <f t="shared" si="63"/>
        <v>40.217327592277719</v>
      </c>
      <c r="BG109">
        <f t="shared" si="64"/>
        <v>175.08412979407026</v>
      </c>
      <c r="BH109">
        <f t="shared" si="65"/>
        <v>844969.89649643947</v>
      </c>
      <c r="BI109">
        <f t="shared" si="66"/>
        <v>28258.159254551127</v>
      </c>
      <c r="BJ109" s="29">
        <v>453765.88093987497</v>
      </c>
      <c r="BK109">
        <f t="shared" si="67"/>
        <v>3267114.3427670998</v>
      </c>
      <c r="BL109">
        <f t="shared" si="68"/>
        <v>4667306.2039529998</v>
      </c>
      <c r="BM109">
        <f t="shared" si="69"/>
        <v>38.894218366274998</v>
      </c>
      <c r="BN109">
        <f t="shared" si="70"/>
        <v>176.00780981977027</v>
      </c>
      <c r="BO109">
        <f t="shared" si="71"/>
        <v>821482.34271599352</v>
      </c>
      <c r="BP109">
        <f t="shared" si="72"/>
        <v>27472.669690982431</v>
      </c>
    </row>
    <row r="110" spans="1:68" x14ac:dyDescent="0.25">
      <c r="A110">
        <v>4</v>
      </c>
      <c r="B110">
        <v>120</v>
      </c>
      <c r="C110">
        <f t="shared" si="74"/>
        <v>0.19220000000000001</v>
      </c>
      <c r="D110">
        <v>0.153</v>
      </c>
      <c r="E110">
        <f t="shared" si="22"/>
        <v>2.9406600000000003</v>
      </c>
      <c r="F110" s="29">
        <v>499996.8</v>
      </c>
      <c r="G110">
        <f t="shared" si="23"/>
        <v>3599976.96</v>
      </c>
      <c r="H110">
        <f t="shared" si="24"/>
        <v>5142824.2285714289</v>
      </c>
      <c r="I110">
        <f t="shared" si="25"/>
        <v>42.856868571428571</v>
      </c>
      <c r="J110">
        <f t="shared" si="26"/>
        <v>173.24143137466308</v>
      </c>
      <c r="K110">
        <f t="shared" si="27"/>
        <v>890950.2306660118</v>
      </c>
      <c r="L110">
        <f t="shared" si="28"/>
        <v>26199.817053103143</v>
      </c>
      <c r="M110" s="7">
        <v>502051.76955192699</v>
      </c>
      <c r="N110">
        <f t="shared" si="29"/>
        <v>3614772.7407738743</v>
      </c>
      <c r="O110">
        <f t="shared" si="30"/>
        <v>5163961.0582483923</v>
      </c>
      <c r="P110">
        <f t="shared" si="31"/>
        <v>43.033008818736604</v>
      </c>
      <c r="Q110">
        <f t="shared" si="32"/>
        <v>173.11846554163671</v>
      </c>
      <c r="R110">
        <f t="shared" si="33"/>
        <v>893977.01452072815</v>
      </c>
      <c r="S110">
        <f t="shared" si="34"/>
        <v>26288.824475205245</v>
      </c>
      <c r="T110" s="29">
        <v>503079.05063203198</v>
      </c>
      <c r="U110">
        <f t="shared" si="17"/>
        <v>3622169.1645506304</v>
      </c>
      <c r="V110">
        <f t="shared" si="18"/>
        <v>5174527.3779294724</v>
      </c>
      <c r="W110">
        <f t="shared" si="19"/>
        <v>43.121061482745603</v>
      </c>
      <c r="X110">
        <f t="shared" si="35"/>
        <v>173.05699481393231</v>
      </c>
      <c r="Y110">
        <f t="shared" si="36"/>
        <v>895488.15760689136</v>
      </c>
      <c r="Z110">
        <f t="shared" si="37"/>
        <v>26333.262055482814</v>
      </c>
      <c r="AA110" s="29">
        <v>503079.66125695198</v>
      </c>
      <c r="AB110">
        <f t="shared" si="20"/>
        <v>3622173.5610500542</v>
      </c>
      <c r="AC110">
        <f t="shared" si="38"/>
        <v>5174533.6586429346</v>
      </c>
      <c r="AD110">
        <f t="shared" si="39"/>
        <v>43.121113822024455</v>
      </c>
      <c r="AE110">
        <f t="shared" si="40"/>
        <v>173.05695827519048</v>
      </c>
      <c r="AF110">
        <f t="shared" si="41"/>
        <v>895489.05545733904</v>
      </c>
      <c r="AG110">
        <f t="shared" si="42"/>
        <v>26333.288458211788</v>
      </c>
      <c r="AH110" s="29">
        <v>504621.091885428</v>
      </c>
      <c r="AI110">
        <f t="shared" si="43"/>
        <v>3633271.8615750815</v>
      </c>
      <c r="AJ110">
        <f t="shared" si="44"/>
        <v>5190388.373678688</v>
      </c>
      <c r="AK110">
        <f t="shared" si="45"/>
        <v>43.253236447322401</v>
      </c>
      <c r="AL110">
        <f t="shared" si="46"/>
        <v>172.96472172545418</v>
      </c>
      <c r="AM110">
        <f t="shared" si="47"/>
        <v>897754.08070036699</v>
      </c>
      <c r="AN110">
        <f t="shared" si="48"/>
        <v>26399.895149523414</v>
      </c>
      <c r="AO110" s="29">
        <v>430715.073221442</v>
      </c>
      <c r="AP110">
        <f t="shared" si="49"/>
        <v>3101148.5271943826</v>
      </c>
      <c r="AQ110">
        <f t="shared" si="50"/>
        <v>4430212.1817062609</v>
      </c>
      <c r="AR110">
        <f t="shared" si="51"/>
        <v>36.918434847552177</v>
      </c>
      <c r="AS110">
        <f t="shared" si="52"/>
        <v>177.38713038944471</v>
      </c>
      <c r="AT110">
        <f t="shared" si="53"/>
        <v>785862.6259292349</v>
      </c>
      <c r="AU110">
        <f t="shared" si="54"/>
        <v>23109.547895650641</v>
      </c>
      <c r="AV110" s="29">
        <v>361513.861618397</v>
      </c>
      <c r="AW110">
        <f t="shared" si="55"/>
        <v>2602899.8036524584</v>
      </c>
      <c r="AX110">
        <f t="shared" si="56"/>
        <v>3718428.2909320835</v>
      </c>
      <c r="AY110">
        <f t="shared" si="57"/>
        <v>30.986902424434032</v>
      </c>
      <c r="AZ110">
        <f t="shared" si="58"/>
        <v>181.52801151501774</v>
      </c>
      <c r="BA110">
        <f t="shared" si="59"/>
        <v>674998.89361408702</v>
      </c>
      <c r="BB110">
        <f t="shared" si="60"/>
        <v>19849.422464952011</v>
      </c>
      <c r="BC110" s="29">
        <v>472677.44278553303</v>
      </c>
      <c r="BD110">
        <f t="shared" si="61"/>
        <v>3403277.5880558379</v>
      </c>
      <c r="BE110">
        <f t="shared" si="62"/>
        <v>4861825.125794054</v>
      </c>
      <c r="BF110">
        <f t="shared" si="63"/>
        <v>40.515209381617119</v>
      </c>
      <c r="BG110">
        <f t="shared" si="64"/>
        <v>174.87617458264464</v>
      </c>
      <c r="BH110">
        <f t="shared" si="65"/>
        <v>850217.3794886492</v>
      </c>
      <c r="BI110">
        <f t="shared" si="66"/>
        <v>25002.002391670914</v>
      </c>
      <c r="BJ110" s="29">
        <v>458977.153060382</v>
      </c>
      <c r="BK110">
        <f t="shared" si="67"/>
        <v>3304635.5020347503</v>
      </c>
      <c r="BL110">
        <f t="shared" si="68"/>
        <v>4720907.8600496436</v>
      </c>
      <c r="BM110">
        <f t="shared" si="69"/>
        <v>39.340898833747026</v>
      </c>
      <c r="BN110">
        <f t="shared" si="70"/>
        <v>175.69597628587471</v>
      </c>
      <c r="BO110">
        <f t="shared" si="71"/>
        <v>829444.51542708173</v>
      </c>
      <c r="BP110">
        <f t="shared" si="72"/>
        <v>24391.143087358021</v>
      </c>
    </row>
    <row r="111" spans="1:68" x14ac:dyDescent="0.25">
      <c r="A111">
        <v>4</v>
      </c>
      <c r="B111">
        <v>140</v>
      </c>
      <c r="C111">
        <f t="shared" si="74"/>
        <v>0.19220000000000001</v>
      </c>
      <c r="D111">
        <v>0.113</v>
      </c>
      <c r="E111">
        <f t="shared" si="22"/>
        <v>2.1718600000000001</v>
      </c>
      <c r="F111" s="29">
        <v>499996.8</v>
      </c>
      <c r="G111">
        <f t="shared" si="23"/>
        <v>3599976.96</v>
      </c>
      <c r="H111">
        <f t="shared" si="24"/>
        <v>5142824.2285714289</v>
      </c>
      <c r="I111">
        <f t="shared" si="25"/>
        <v>42.856868571428571</v>
      </c>
      <c r="J111">
        <f t="shared" si="26"/>
        <v>173.24143137466308</v>
      </c>
      <c r="K111">
        <f t="shared" si="27"/>
        <v>890950.2306660118</v>
      </c>
      <c r="L111">
        <f t="shared" si="28"/>
        <v>19350.191679742846</v>
      </c>
      <c r="M111" s="7">
        <v>501931.79720201599</v>
      </c>
      <c r="N111">
        <f t="shared" si="29"/>
        <v>3613908.9398545153</v>
      </c>
      <c r="O111">
        <f t="shared" si="30"/>
        <v>5162727.0569350217</v>
      </c>
      <c r="P111">
        <f t="shared" si="31"/>
        <v>43.022725474458518</v>
      </c>
      <c r="Q111">
        <f t="shared" si="32"/>
        <v>173.12564448009499</v>
      </c>
      <c r="R111">
        <f t="shared" si="33"/>
        <v>893800.44900669972</v>
      </c>
      <c r="S111">
        <f t="shared" si="34"/>
        <v>19412.094431796908</v>
      </c>
      <c r="T111" s="29">
        <v>502900.544131106</v>
      </c>
      <c r="U111">
        <f t="shared" si="17"/>
        <v>3620883.9177439632</v>
      </c>
      <c r="V111">
        <f t="shared" si="18"/>
        <v>5172691.3110628044</v>
      </c>
      <c r="W111">
        <f t="shared" si="19"/>
        <v>43.10576092552337</v>
      </c>
      <c r="X111">
        <f t="shared" si="35"/>
        <v>173.06767633501198</v>
      </c>
      <c r="Y111">
        <f t="shared" si="36"/>
        <v>895225.6656039462</v>
      </c>
      <c r="Z111">
        <f t="shared" si="37"/>
        <v>19443.048140985866</v>
      </c>
      <c r="AA111" s="29">
        <v>502896.79589089798</v>
      </c>
      <c r="AB111">
        <f t="shared" si="20"/>
        <v>3620856.9304144657</v>
      </c>
      <c r="AC111">
        <f t="shared" si="38"/>
        <v>5172652.7577349506</v>
      </c>
      <c r="AD111">
        <f t="shared" si="39"/>
        <v>43.105439647791258</v>
      </c>
      <c r="AE111">
        <f t="shared" si="40"/>
        <v>173.06790062324006</v>
      </c>
      <c r="AF111">
        <f t="shared" si="41"/>
        <v>895220.15343420114</v>
      </c>
      <c r="AG111">
        <f t="shared" si="42"/>
        <v>19442.928424376041</v>
      </c>
      <c r="AH111" s="29">
        <v>504346.793836347</v>
      </c>
      <c r="AI111">
        <f t="shared" si="43"/>
        <v>3631296.9156216984</v>
      </c>
      <c r="AJ111">
        <f t="shared" si="44"/>
        <v>5187567.022316712</v>
      </c>
      <c r="AK111">
        <f t="shared" si="45"/>
        <v>43.229725185972605</v>
      </c>
      <c r="AL111">
        <f t="shared" si="46"/>
        <v>172.98113524752856</v>
      </c>
      <c r="AM111">
        <f t="shared" si="47"/>
        <v>897351.23269298614</v>
      </c>
      <c r="AN111">
        <f t="shared" si="48"/>
        <v>19489.212482365889</v>
      </c>
      <c r="AO111" s="29">
        <v>428874.25323764503</v>
      </c>
      <c r="AP111">
        <f t="shared" si="49"/>
        <v>3087894.6233110442</v>
      </c>
      <c r="AQ111">
        <f t="shared" si="50"/>
        <v>4411278.0333014913</v>
      </c>
      <c r="AR111">
        <f t="shared" si="51"/>
        <v>36.760650277512426</v>
      </c>
      <c r="AS111">
        <f t="shared" si="52"/>
        <v>177.4972818817366</v>
      </c>
      <c r="AT111">
        <f t="shared" si="53"/>
        <v>782989.86053562746</v>
      </c>
      <c r="AU111">
        <f t="shared" si="54"/>
        <v>17005.443585029079</v>
      </c>
      <c r="AV111" s="29">
        <v>357854.01429656101</v>
      </c>
      <c r="AW111">
        <f t="shared" si="55"/>
        <v>2576548.9029352395</v>
      </c>
      <c r="AX111">
        <f t="shared" si="56"/>
        <v>3680784.1470503421</v>
      </c>
      <c r="AY111">
        <f t="shared" si="57"/>
        <v>30.673201225419515</v>
      </c>
      <c r="AZ111">
        <f t="shared" si="58"/>
        <v>181.74701046527318</v>
      </c>
      <c r="BA111">
        <f t="shared" si="59"/>
        <v>668971.51489437011</v>
      </c>
      <c r="BB111">
        <f t="shared" si="60"/>
        <v>14529.124743384868</v>
      </c>
      <c r="BC111" s="29">
        <v>479846.28637377202</v>
      </c>
      <c r="BD111">
        <f t="shared" si="61"/>
        <v>3454893.2618911588</v>
      </c>
      <c r="BE111">
        <f t="shared" si="62"/>
        <v>4935561.8027016558</v>
      </c>
      <c r="BF111">
        <f t="shared" si="63"/>
        <v>41.129681689180465</v>
      </c>
      <c r="BG111">
        <f t="shared" si="64"/>
        <v>174.4472033490627</v>
      </c>
      <c r="BH111">
        <f t="shared" si="65"/>
        <v>860994.95343776222</v>
      </c>
      <c r="BI111">
        <f t="shared" si="66"/>
        <v>18699.604995733382</v>
      </c>
      <c r="BJ111" s="29">
        <v>469737.90818876401</v>
      </c>
      <c r="BK111">
        <f t="shared" si="67"/>
        <v>3382112.9389591007</v>
      </c>
      <c r="BL111">
        <f t="shared" si="68"/>
        <v>4831589.9127987158</v>
      </c>
      <c r="BM111">
        <f t="shared" si="69"/>
        <v>40.263249273322629</v>
      </c>
      <c r="BN111">
        <f t="shared" si="70"/>
        <v>175.05207126202004</v>
      </c>
      <c r="BO111">
        <f t="shared" si="71"/>
        <v>845779.82172409794</v>
      </c>
      <c r="BP111">
        <f t="shared" si="72"/>
        <v>18369.153636096995</v>
      </c>
    </row>
    <row r="112" spans="1:68" x14ac:dyDescent="0.25">
      <c r="A112">
        <v>4</v>
      </c>
      <c r="B112">
        <v>160</v>
      </c>
      <c r="C112">
        <f t="shared" si="74"/>
        <v>0.19220000000000001</v>
      </c>
      <c r="D112">
        <v>0.06</v>
      </c>
      <c r="E112">
        <f t="shared" si="22"/>
        <v>1.1532</v>
      </c>
      <c r="F112" s="29">
        <v>499996.8</v>
      </c>
      <c r="G112">
        <f t="shared" si="23"/>
        <v>3599976.96</v>
      </c>
      <c r="H112">
        <f t="shared" si="24"/>
        <v>5142824.2285714289</v>
      </c>
      <c r="I112">
        <f t="shared" si="25"/>
        <v>42.856868571428571</v>
      </c>
      <c r="J112">
        <f t="shared" si="26"/>
        <v>173.24143137466308</v>
      </c>
      <c r="K112">
        <f t="shared" si="27"/>
        <v>890950.2306660118</v>
      </c>
      <c r="L112">
        <f t="shared" si="28"/>
        <v>10274.438060040449</v>
      </c>
      <c r="M112" s="7">
        <v>498885.93708614103</v>
      </c>
      <c r="N112">
        <f t="shared" si="29"/>
        <v>3591978.7470202153</v>
      </c>
      <c r="O112">
        <f t="shared" si="30"/>
        <v>5131398.2100288793</v>
      </c>
      <c r="P112">
        <f t="shared" si="31"/>
        <v>42.761651750240667</v>
      </c>
      <c r="Q112">
        <f t="shared" si="32"/>
        <v>173.307903495115</v>
      </c>
      <c r="R112">
        <f t="shared" si="33"/>
        <v>889311.86577869079</v>
      </c>
      <c r="S112">
        <f t="shared" si="34"/>
        <v>10255.544436159862</v>
      </c>
      <c r="T112" s="29">
        <v>498334.68162421201</v>
      </c>
      <c r="U112">
        <f t="shared" si="17"/>
        <v>3588009.7076943265</v>
      </c>
      <c r="V112">
        <f t="shared" si="18"/>
        <v>5125728.1538490383</v>
      </c>
      <c r="W112">
        <f t="shared" si="19"/>
        <v>42.714401282075322</v>
      </c>
      <c r="X112">
        <f t="shared" si="35"/>
        <v>173.34088967100402</v>
      </c>
      <c r="Y112">
        <f t="shared" si="36"/>
        <v>888498.27839990531</v>
      </c>
      <c r="Z112">
        <f t="shared" si="37"/>
        <v>10246.162146507708</v>
      </c>
      <c r="AA112" s="29">
        <v>498322.14687079802</v>
      </c>
      <c r="AB112">
        <f t="shared" si="20"/>
        <v>3587919.457469746</v>
      </c>
      <c r="AC112">
        <f t="shared" si="38"/>
        <v>5125599.2249567797</v>
      </c>
      <c r="AD112">
        <f t="shared" si="39"/>
        <v>42.713326874639826</v>
      </c>
      <c r="AE112">
        <f t="shared" si="40"/>
        <v>173.34163972902502</v>
      </c>
      <c r="AF112">
        <f t="shared" si="41"/>
        <v>888479.77424782806</v>
      </c>
      <c r="AG112">
        <f t="shared" si="42"/>
        <v>10245.948756625954</v>
      </c>
      <c r="AH112" s="29">
        <v>497484.82030619698</v>
      </c>
      <c r="AI112">
        <f t="shared" si="43"/>
        <v>3581890.7062046183</v>
      </c>
      <c r="AJ112">
        <f t="shared" si="44"/>
        <v>5116986.7231494542</v>
      </c>
      <c r="AK112">
        <f t="shared" si="45"/>
        <v>42.641556026245453</v>
      </c>
      <c r="AL112">
        <f t="shared" si="46"/>
        <v>173.39174390620599</v>
      </c>
      <c r="AM112">
        <f t="shared" si="47"/>
        <v>887243.25147178641</v>
      </c>
      <c r="AN112">
        <f t="shared" si="48"/>
        <v>10231.689175972642</v>
      </c>
      <c r="AO112" s="29">
        <v>434156.86634570098</v>
      </c>
      <c r="AP112">
        <f t="shared" si="49"/>
        <v>3125929.4376890473</v>
      </c>
      <c r="AQ112">
        <f t="shared" si="50"/>
        <v>4465613.482412925</v>
      </c>
      <c r="AR112">
        <f t="shared" si="51"/>
        <v>37.213445686774371</v>
      </c>
      <c r="AS112">
        <f t="shared" si="52"/>
        <v>177.18117942621413</v>
      </c>
      <c r="AT112">
        <f t="shared" si="53"/>
        <v>791222.66367552546</v>
      </c>
      <c r="AU112">
        <f t="shared" si="54"/>
        <v>9124.3797575061599</v>
      </c>
      <c r="AV112" s="29">
        <v>368433.58977710799</v>
      </c>
      <c r="AW112">
        <f t="shared" si="55"/>
        <v>2652721.8463951778</v>
      </c>
      <c r="AX112">
        <f t="shared" si="56"/>
        <v>3789602.6377073969</v>
      </c>
      <c r="AY112">
        <f t="shared" si="57"/>
        <v>31.580021980894973</v>
      </c>
      <c r="AZ112">
        <f t="shared" si="58"/>
        <v>181.11394691899784</v>
      </c>
      <c r="BA112">
        <f t="shared" si="59"/>
        <v>686349.89096983173</v>
      </c>
      <c r="BB112">
        <f t="shared" si="60"/>
        <v>7914.9869426640998</v>
      </c>
      <c r="BC112" s="29">
        <v>487849.17929639103</v>
      </c>
      <c r="BD112">
        <f t="shared" si="61"/>
        <v>3512514.0909340153</v>
      </c>
      <c r="BE112">
        <f t="shared" si="62"/>
        <v>5017877.2727628797</v>
      </c>
      <c r="BF112">
        <f t="shared" si="63"/>
        <v>41.815643939690666</v>
      </c>
      <c r="BG112">
        <f t="shared" si="64"/>
        <v>173.96832404210275</v>
      </c>
      <c r="BH112">
        <f t="shared" si="65"/>
        <v>872951.69939151546</v>
      </c>
      <c r="BI112">
        <f t="shared" si="66"/>
        <v>10066.878997382957</v>
      </c>
      <c r="BJ112" s="29">
        <v>481753.89584664698</v>
      </c>
      <c r="BK112">
        <f t="shared" si="67"/>
        <v>3468628.0500958585</v>
      </c>
      <c r="BL112">
        <f t="shared" si="68"/>
        <v>4955182.9287083698</v>
      </c>
      <c r="BM112">
        <f t="shared" si="69"/>
        <v>41.293191072569748</v>
      </c>
      <c r="BN112">
        <f t="shared" si="70"/>
        <v>174.33305528896074</v>
      </c>
      <c r="BO112">
        <f t="shared" si="71"/>
        <v>863852.17947743053</v>
      </c>
      <c r="BP112">
        <f t="shared" si="72"/>
        <v>9961.9433337337287</v>
      </c>
    </row>
    <row r="113" spans="1:68" x14ac:dyDescent="0.25">
      <c r="A113">
        <v>4</v>
      </c>
      <c r="B113">
        <v>180</v>
      </c>
      <c r="C113">
        <f t="shared" si="74"/>
        <v>0.19220000000000001</v>
      </c>
      <c r="D113">
        <v>0</v>
      </c>
      <c r="E113">
        <f t="shared" si="22"/>
        <v>0</v>
      </c>
      <c r="F113" s="29">
        <v>499996.8</v>
      </c>
      <c r="G113">
        <f t="shared" si="23"/>
        <v>3599976.96</v>
      </c>
      <c r="H113">
        <f t="shared" si="24"/>
        <v>5142824.2285714289</v>
      </c>
      <c r="I113">
        <f t="shared" si="25"/>
        <v>42.856868571428571</v>
      </c>
      <c r="J113">
        <f t="shared" si="26"/>
        <v>173.24143137466308</v>
      </c>
      <c r="K113">
        <f t="shared" si="27"/>
        <v>890950.2306660118</v>
      </c>
      <c r="L113">
        <f t="shared" si="28"/>
        <v>0</v>
      </c>
      <c r="M113" s="7">
        <v>493382.64853495598</v>
      </c>
      <c r="N113">
        <f t="shared" si="29"/>
        <v>3552355.0694516832</v>
      </c>
      <c r="O113">
        <f t="shared" si="30"/>
        <v>5074792.9563595476</v>
      </c>
      <c r="P113">
        <f t="shared" si="31"/>
        <v>42.289941302996226</v>
      </c>
      <c r="Q113">
        <f t="shared" si="32"/>
        <v>173.63721078847433</v>
      </c>
      <c r="R113">
        <f t="shared" si="33"/>
        <v>881172.89427126769</v>
      </c>
      <c r="S113">
        <f t="shared" si="34"/>
        <v>0</v>
      </c>
      <c r="T113" s="29">
        <v>490082.60560797103</v>
      </c>
      <c r="U113">
        <f t="shared" si="17"/>
        <v>3528594.7603773912</v>
      </c>
      <c r="V113">
        <f t="shared" si="18"/>
        <v>5040849.6576819867</v>
      </c>
      <c r="W113">
        <f t="shared" si="19"/>
        <v>42.007080480683221</v>
      </c>
      <c r="X113">
        <f t="shared" si="35"/>
        <v>173.83467966442871</v>
      </c>
      <c r="Y113">
        <f t="shared" si="36"/>
        <v>876274.48547969328</v>
      </c>
      <c r="Z113">
        <f t="shared" si="37"/>
        <v>0</v>
      </c>
      <c r="AA113" s="29">
        <v>490061.50041600002</v>
      </c>
      <c r="AB113">
        <f t="shared" si="20"/>
        <v>3528442.8029952003</v>
      </c>
      <c r="AC113">
        <f t="shared" si="38"/>
        <v>5040632.5757074291</v>
      </c>
      <c r="AD113">
        <f t="shared" si="39"/>
        <v>42.005271464228578</v>
      </c>
      <c r="AE113">
        <f t="shared" si="40"/>
        <v>173.83594256270834</v>
      </c>
      <c r="AF113">
        <f t="shared" si="41"/>
        <v>876243.11491039325</v>
      </c>
      <c r="AG113">
        <f t="shared" si="42"/>
        <v>0</v>
      </c>
      <c r="AH113" s="29">
        <v>485093.85062400001</v>
      </c>
      <c r="AI113">
        <f t="shared" si="43"/>
        <v>3492675.7244928</v>
      </c>
      <c r="AJ113">
        <f t="shared" si="44"/>
        <v>4989536.7492754292</v>
      </c>
      <c r="AK113">
        <f t="shared" si="45"/>
        <v>41.579472910628574</v>
      </c>
      <c r="AL113">
        <f t="shared" si="46"/>
        <v>174.133198156731</v>
      </c>
      <c r="AM113">
        <f t="shared" si="47"/>
        <v>868843.99147186975</v>
      </c>
      <c r="AN113">
        <f t="shared" si="48"/>
        <v>0</v>
      </c>
      <c r="AO113" s="29">
        <v>445568.27200218203</v>
      </c>
      <c r="AP113">
        <f t="shared" si="49"/>
        <v>3208091.5584157105</v>
      </c>
      <c r="AQ113">
        <f t="shared" si="50"/>
        <v>4582987.9405938722</v>
      </c>
      <c r="AR113">
        <f t="shared" si="51"/>
        <v>38.191566171615598</v>
      </c>
      <c r="AS113">
        <f t="shared" si="52"/>
        <v>176.49834059717401</v>
      </c>
      <c r="AT113">
        <f t="shared" si="53"/>
        <v>808889.76649167831</v>
      </c>
      <c r="AU113">
        <f t="shared" si="54"/>
        <v>0</v>
      </c>
      <c r="AV113" s="29">
        <v>391261.229850895</v>
      </c>
      <c r="AW113">
        <f t="shared" si="55"/>
        <v>2817080.8549264441</v>
      </c>
      <c r="AX113">
        <f t="shared" si="56"/>
        <v>4024401.221323492</v>
      </c>
      <c r="AY113">
        <f t="shared" si="57"/>
        <v>33.536676844362432</v>
      </c>
      <c r="AZ113">
        <f t="shared" si="58"/>
        <v>179.7479803161998</v>
      </c>
      <c r="BA113">
        <f t="shared" si="59"/>
        <v>723377.99151494552</v>
      </c>
      <c r="BB113">
        <f t="shared" si="60"/>
        <v>0</v>
      </c>
      <c r="BC113" s="29">
        <v>494497.99215509399</v>
      </c>
      <c r="BD113">
        <f t="shared" si="61"/>
        <v>3560385.5435166769</v>
      </c>
      <c r="BE113">
        <f t="shared" si="62"/>
        <v>5086265.0621666815</v>
      </c>
      <c r="BF113">
        <f t="shared" si="63"/>
        <v>42.385542184722347</v>
      </c>
      <c r="BG113">
        <f t="shared" si="64"/>
        <v>173.57047055028818</v>
      </c>
      <c r="BH113">
        <f t="shared" si="65"/>
        <v>882825.42018376174</v>
      </c>
      <c r="BI113">
        <f t="shared" si="66"/>
        <v>0</v>
      </c>
      <c r="BJ113" s="29">
        <v>491736.807761523</v>
      </c>
      <c r="BK113">
        <f t="shared" si="67"/>
        <v>3540505.0158829656</v>
      </c>
      <c r="BL113">
        <f t="shared" si="68"/>
        <v>5057864.308404237</v>
      </c>
      <c r="BM113">
        <f t="shared" si="69"/>
        <v>42.148869236701977</v>
      </c>
      <c r="BN113">
        <f t="shared" si="70"/>
        <v>173.7356950611703</v>
      </c>
      <c r="BO113">
        <f t="shared" si="71"/>
        <v>878731.57114569552</v>
      </c>
      <c r="BP113">
        <f t="shared" si="72"/>
        <v>0</v>
      </c>
    </row>
    <row r="114" spans="1:68" x14ac:dyDescent="0.25">
      <c r="A114">
        <v>6</v>
      </c>
      <c r="B114">
        <v>0</v>
      </c>
      <c r="C114">
        <f>$AB$5</f>
        <v>0.21160000000000001</v>
      </c>
      <c r="D114" cm="1">
        <f t="array" ref="D114:D123">$AD$2:$AD$11</f>
        <v>0</v>
      </c>
      <c r="E114">
        <f t="shared" si="22"/>
        <v>0</v>
      </c>
      <c r="F114" s="29">
        <v>499996.8</v>
      </c>
      <c r="G114">
        <f t="shared" si="23"/>
        <v>3599976.96</v>
      </c>
      <c r="H114">
        <f t="shared" si="24"/>
        <v>5142824.2285714289</v>
      </c>
      <c r="I114">
        <f t="shared" si="25"/>
        <v>42.856868571428571</v>
      </c>
      <c r="J114">
        <f t="shared" si="26"/>
        <v>173.24143137466308</v>
      </c>
      <c r="K114">
        <f t="shared" si="27"/>
        <v>890950.2306660118</v>
      </c>
      <c r="L114">
        <f t="shared" si="28"/>
        <v>0</v>
      </c>
      <c r="M114" s="7">
        <v>499920.77608625201</v>
      </c>
      <c r="N114">
        <f t="shared" si="29"/>
        <v>3599429.5878210147</v>
      </c>
      <c r="O114">
        <f t="shared" si="30"/>
        <v>5142042.2683157353</v>
      </c>
      <c r="P114">
        <f t="shared" si="31"/>
        <v>42.850352235964465</v>
      </c>
      <c r="Q114">
        <f t="shared" si="32"/>
        <v>173.24598051451537</v>
      </c>
      <c r="R114">
        <f t="shared" si="33"/>
        <v>890838.15462144231</v>
      </c>
      <c r="S114">
        <f t="shared" si="34"/>
        <v>0</v>
      </c>
      <c r="T114" s="29">
        <v>499882.77278562199</v>
      </c>
      <c r="U114">
        <f t="shared" si="17"/>
        <v>3599155.9640564783</v>
      </c>
      <c r="V114">
        <f t="shared" si="18"/>
        <v>5141651.3772235401</v>
      </c>
      <c r="W114">
        <f t="shared" si="19"/>
        <v>42.847094810196168</v>
      </c>
      <c r="X114">
        <f t="shared" si="35"/>
        <v>173.24825456646681</v>
      </c>
      <c r="Y114">
        <f t="shared" si="36"/>
        <v>890782.12669324852</v>
      </c>
      <c r="Z114">
        <f t="shared" si="37"/>
        <v>0</v>
      </c>
      <c r="AA114" s="29">
        <v>499882.74681600003</v>
      </c>
      <c r="AB114">
        <f t="shared" si="20"/>
        <v>3599155.7770752003</v>
      </c>
      <c r="AC114">
        <f t="shared" si="38"/>
        <v>5141651.1101074284</v>
      </c>
      <c r="AD114">
        <f t="shared" si="39"/>
        <v>42.847092584228569</v>
      </c>
      <c r="AE114">
        <f t="shared" si="40"/>
        <v>173.24825612044421</v>
      </c>
      <c r="AF114">
        <f t="shared" si="41"/>
        <v>890782.08840585803</v>
      </c>
      <c r="AG114">
        <f t="shared" si="42"/>
        <v>0</v>
      </c>
      <c r="AH114" s="29">
        <v>499825.72022399999</v>
      </c>
      <c r="AI114">
        <f t="shared" si="43"/>
        <v>3598745.1856128001</v>
      </c>
      <c r="AJ114">
        <f t="shared" si="44"/>
        <v>5141064.5508754291</v>
      </c>
      <c r="AK114">
        <f t="shared" si="45"/>
        <v>42.842204590628576</v>
      </c>
      <c r="AL114">
        <f t="shared" si="46"/>
        <v>173.25166849333476</v>
      </c>
      <c r="AM114">
        <f t="shared" si="47"/>
        <v>890698.0112711048</v>
      </c>
      <c r="AN114">
        <f t="shared" si="48"/>
        <v>0</v>
      </c>
      <c r="AO114" s="29">
        <v>499371.36028178502</v>
      </c>
      <c r="AP114">
        <f t="shared" si="49"/>
        <v>3595473.7940288521</v>
      </c>
      <c r="AQ114">
        <f t="shared" si="50"/>
        <v>5136391.1343269311</v>
      </c>
      <c r="AR114">
        <f t="shared" si="51"/>
        <v>42.803259452724426</v>
      </c>
      <c r="AS114">
        <f t="shared" si="52"/>
        <v>173.27885660847539</v>
      </c>
      <c r="AT114">
        <f t="shared" si="53"/>
        <v>890027.98285008059</v>
      </c>
      <c r="AU114">
        <f t="shared" si="54"/>
        <v>0</v>
      </c>
      <c r="AV114" s="29">
        <v>498746.06993146997</v>
      </c>
      <c r="AW114">
        <f t="shared" si="55"/>
        <v>3590971.7035065838</v>
      </c>
      <c r="AX114">
        <f t="shared" si="56"/>
        <v>5129959.5764379762</v>
      </c>
      <c r="AY114">
        <f t="shared" si="57"/>
        <v>42.749663136983138</v>
      </c>
      <c r="AZ114">
        <f t="shared" si="58"/>
        <v>173.31627290437027</v>
      </c>
      <c r="BA114">
        <f t="shared" si="59"/>
        <v>889105.47393831192</v>
      </c>
      <c r="BB114">
        <f t="shared" si="60"/>
        <v>0</v>
      </c>
      <c r="BC114" s="29">
        <v>499933.59543823201</v>
      </c>
      <c r="BD114">
        <f t="shared" si="61"/>
        <v>3599521.8871552707</v>
      </c>
      <c r="BE114">
        <f t="shared" si="62"/>
        <v>5142174.1245075297</v>
      </c>
      <c r="BF114">
        <f t="shared" si="63"/>
        <v>42.851451037562747</v>
      </c>
      <c r="BG114">
        <f t="shared" si="64"/>
        <v>173.24521342660714</v>
      </c>
      <c r="BH114">
        <f t="shared" si="65"/>
        <v>890857.05367708369</v>
      </c>
      <c r="BI114">
        <f t="shared" si="66"/>
        <v>0</v>
      </c>
      <c r="BJ114" s="29">
        <v>499901.97866052698</v>
      </c>
      <c r="BK114">
        <f t="shared" si="67"/>
        <v>3599294.2463557944</v>
      </c>
      <c r="BL114">
        <f t="shared" si="68"/>
        <v>5141848.9233654207</v>
      </c>
      <c r="BM114">
        <f t="shared" si="69"/>
        <v>42.848741028045175</v>
      </c>
      <c r="BN114">
        <f t="shared" si="70"/>
        <v>173.24710532004394</v>
      </c>
      <c r="BO114">
        <f t="shared" si="71"/>
        <v>890810.44196604355</v>
      </c>
      <c r="BP114">
        <f t="shared" si="72"/>
        <v>0</v>
      </c>
    </row>
    <row r="115" spans="1:68" x14ac:dyDescent="0.25">
      <c r="A115">
        <v>6</v>
      </c>
      <c r="B115">
        <v>20</v>
      </c>
      <c r="C115">
        <f t="shared" ref="C115:C123" si="75">$AB$5</f>
        <v>0.21160000000000001</v>
      </c>
      <c r="D115">
        <v>0.06</v>
      </c>
      <c r="E115">
        <f t="shared" si="22"/>
        <v>1.2696000000000001</v>
      </c>
      <c r="F115" s="29">
        <v>499996.8</v>
      </c>
      <c r="G115">
        <f t="shared" si="23"/>
        <v>3599976.96</v>
      </c>
      <c r="H115">
        <f t="shared" si="24"/>
        <v>5142824.2285714289</v>
      </c>
      <c r="I115">
        <f t="shared" si="25"/>
        <v>42.856868571428571</v>
      </c>
      <c r="J115">
        <f t="shared" si="26"/>
        <v>173.24143137466308</v>
      </c>
      <c r="K115">
        <f t="shared" si="27"/>
        <v>890950.2306660118</v>
      </c>
      <c r="L115">
        <f t="shared" si="28"/>
        <v>11311.504128535686</v>
      </c>
      <c r="M115" s="7">
        <v>498503.17126731202</v>
      </c>
      <c r="N115">
        <f t="shared" si="29"/>
        <v>3589222.8331246465</v>
      </c>
      <c r="O115">
        <f t="shared" si="30"/>
        <v>5127461.1901780665</v>
      </c>
      <c r="P115">
        <f t="shared" si="31"/>
        <v>42.728843251483887</v>
      </c>
      <c r="Q115">
        <f t="shared" si="32"/>
        <v>173.3308075414169</v>
      </c>
      <c r="R115">
        <f t="shared" si="33"/>
        <v>888746.98873083887</v>
      </c>
      <c r="S115">
        <f t="shared" si="34"/>
        <v>11283.53176892673</v>
      </c>
      <c r="T115" s="29">
        <v>497756.41745585902</v>
      </c>
      <c r="U115">
        <f t="shared" si="17"/>
        <v>3583846.205682185</v>
      </c>
      <c r="V115">
        <f t="shared" si="18"/>
        <v>5119780.293831693</v>
      </c>
      <c r="W115">
        <f t="shared" si="19"/>
        <v>42.664835781930776</v>
      </c>
      <c r="X115">
        <f t="shared" si="35"/>
        <v>173.37549200129359</v>
      </c>
      <c r="Y115">
        <f t="shared" si="36"/>
        <v>887644.42738159723</v>
      </c>
      <c r="Z115">
        <f t="shared" si="37"/>
        <v>11269.533650036759</v>
      </c>
      <c r="AA115" s="29">
        <v>497756.235784563</v>
      </c>
      <c r="AB115">
        <f t="shared" si="20"/>
        <v>3583844.8976488537</v>
      </c>
      <c r="AC115">
        <f t="shared" si="38"/>
        <v>5119778.4252126478</v>
      </c>
      <c r="AD115">
        <f t="shared" si="39"/>
        <v>42.664820210105397</v>
      </c>
      <c r="AE115">
        <f t="shared" si="40"/>
        <v>173.37550287219057</v>
      </c>
      <c r="AF115">
        <f t="shared" si="41"/>
        <v>887644.15906543471</v>
      </c>
      <c r="AG115">
        <f t="shared" si="42"/>
        <v>11269.530243494759</v>
      </c>
      <c r="AH115" s="29">
        <v>496635.95367684501</v>
      </c>
      <c r="AI115">
        <f t="shared" si="43"/>
        <v>3575778.8664732841</v>
      </c>
      <c r="AJ115">
        <f t="shared" si="44"/>
        <v>5108255.5235332632</v>
      </c>
      <c r="AK115">
        <f t="shared" si="45"/>
        <v>42.56879602944386</v>
      </c>
      <c r="AL115">
        <f t="shared" si="46"/>
        <v>173.44253862095428</v>
      </c>
      <c r="AM115">
        <f t="shared" si="47"/>
        <v>885988.80592612096</v>
      </c>
      <c r="AN115">
        <f t="shared" si="48"/>
        <v>11248.513880038032</v>
      </c>
      <c r="AO115" s="29">
        <v>493579.81068323198</v>
      </c>
      <c r="AP115">
        <f t="shared" si="49"/>
        <v>3553774.6369192703</v>
      </c>
      <c r="AQ115">
        <f t="shared" si="50"/>
        <v>5076820.9098846717</v>
      </c>
      <c r="AR115">
        <f t="shared" si="51"/>
        <v>42.3068409157056</v>
      </c>
      <c r="AS115">
        <f t="shared" si="52"/>
        <v>173.62541294563948</v>
      </c>
      <c r="AT115">
        <f t="shared" si="53"/>
        <v>881465.12692978338</v>
      </c>
      <c r="AU115">
        <f t="shared" si="54"/>
        <v>11191.081251500531</v>
      </c>
      <c r="AV115" s="29">
        <v>487163.414084277</v>
      </c>
      <c r="AW115">
        <f t="shared" si="55"/>
        <v>3507576.5814067945</v>
      </c>
      <c r="AX115">
        <f t="shared" si="56"/>
        <v>5010823.6877239924</v>
      </c>
      <c r="AY115">
        <f t="shared" si="57"/>
        <v>41.756864064366603</v>
      </c>
      <c r="AZ115">
        <f t="shared" si="58"/>
        <v>174.00935904940445</v>
      </c>
      <c r="BA115">
        <f t="shared" si="59"/>
        <v>871930.21821042511</v>
      </c>
      <c r="BB115">
        <f t="shared" si="60"/>
        <v>11070.026050399558</v>
      </c>
      <c r="BC115" s="29">
        <v>493507.23837501602</v>
      </c>
      <c r="BD115">
        <f t="shared" si="61"/>
        <v>3553252.1163001154</v>
      </c>
      <c r="BE115">
        <f t="shared" si="62"/>
        <v>5076074.4518573079</v>
      </c>
      <c r="BF115">
        <f t="shared" si="63"/>
        <v>42.300620432144235</v>
      </c>
      <c r="BG115">
        <f t="shared" si="64"/>
        <v>173.62975554737102</v>
      </c>
      <c r="BH115">
        <f t="shared" si="65"/>
        <v>881357.56621623971</v>
      </c>
      <c r="BI115">
        <f t="shared" si="66"/>
        <v>11189.715660681381</v>
      </c>
      <c r="BJ115" s="29">
        <v>490261.42556271498</v>
      </c>
      <c r="BK115">
        <f t="shared" si="67"/>
        <v>3529882.2640515477</v>
      </c>
      <c r="BL115">
        <f t="shared" si="68"/>
        <v>5042688.9486450683</v>
      </c>
      <c r="BM115">
        <f t="shared" si="69"/>
        <v>42.022407905375573</v>
      </c>
      <c r="BN115">
        <f t="shared" si="70"/>
        <v>173.82397938681328</v>
      </c>
      <c r="BO115">
        <f t="shared" si="71"/>
        <v>876540.25986339152</v>
      </c>
      <c r="BP115">
        <f t="shared" si="72"/>
        <v>11128.55513922562</v>
      </c>
    </row>
    <row r="116" spans="1:68" x14ac:dyDescent="0.25">
      <c r="A116">
        <v>6</v>
      </c>
      <c r="B116">
        <v>40</v>
      </c>
      <c r="C116">
        <f t="shared" si="75"/>
        <v>0.21160000000000001</v>
      </c>
      <c r="D116">
        <v>0.113</v>
      </c>
      <c r="E116">
        <f t="shared" si="22"/>
        <v>2.3910800000000001</v>
      </c>
      <c r="F116" s="29">
        <v>499996.8</v>
      </c>
      <c r="G116">
        <f t="shared" si="23"/>
        <v>3599976.96</v>
      </c>
      <c r="H116">
        <f t="shared" si="24"/>
        <v>5142824.2285714289</v>
      </c>
      <c r="I116">
        <f t="shared" si="25"/>
        <v>42.856868571428571</v>
      </c>
      <c r="J116">
        <f t="shared" si="26"/>
        <v>173.24143137466308</v>
      </c>
      <c r="K116">
        <f t="shared" si="27"/>
        <v>890950.2306660118</v>
      </c>
      <c r="L116">
        <f t="shared" si="28"/>
        <v>21303.332775408875</v>
      </c>
      <c r="M116" s="7">
        <v>494451.31631094503</v>
      </c>
      <c r="N116">
        <f t="shared" si="29"/>
        <v>3560049.4774388042</v>
      </c>
      <c r="O116">
        <f t="shared" si="30"/>
        <v>5085784.9677697206</v>
      </c>
      <c r="P116">
        <f t="shared" si="31"/>
        <v>42.381541398081005</v>
      </c>
      <c r="Q116">
        <f t="shared" si="32"/>
        <v>173.57326355228307</v>
      </c>
      <c r="R116">
        <f t="shared" si="33"/>
        <v>882756.29458093306</v>
      </c>
      <c r="S116">
        <f t="shared" si="34"/>
        <v>21107.409208465775</v>
      </c>
      <c r="T116" s="29">
        <v>491678.92988811003</v>
      </c>
      <c r="U116">
        <f t="shared" ref="U116:U147" si="76">$G$12*T116</f>
        <v>3540088.2951943921</v>
      </c>
      <c r="V116">
        <f t="shared" ref="V116:V147" si="77">U116*100/$G$15</f>
        <v>5057268.993134846</v>
      </c>
      <c r="W116">
        <f t="shared" ref="W116:W147" si="78">100*V116/$G$14</f>
        <v>42.143908276123717</v>
      </c>
      <c r="X116">
        <f t="shared" si="35"/>
        <v>173.73915837327212</v>
      </c>
      <c r="Y116">
        <f t="shared" si="36"/>
        <v>878645.65853449341</v>
      </c>
      <c r="Z116">
        <f t="shared" si="37"/>
        <v>21009.120612086565</v>
      </c>
      <c r="AA116" s="29">
        <v>491677.86356794398</v>
      </c>
      <c r="AB116">
        <f t="shared" ref="AB116:AB147" si="79">$H$12*AA116</f>
        <v>3540080.6176891965</v>
      </c>
      <c r="AC116">
        <f t="shared" si="38"/>
        <v>5057258.0252702804</v>
      </c>
      <c r="AD116">
        <f t="shared" si="39"/>
        <v>42.143816877252334</v>
      </c>
      <c r="AE116">
        <f t="shared" si="40"/>
        <v>173.73922218003139</v>
      </c>
      <c r="AF116">
        <f t="shared" si="41"/>
        <v>878644.07567418006</v>
      </c>
      <c r="AG116">
        <f t="shared" si="42"/>
        <v>21009.082764630184</v>
      </c>
      <c r="AH116" s="29">
        <v>487518.39535191603</v>
      </c>
      <c r="AI116">
        <f t="shared" si="43"/>
        <v>3510132.4465337954</v>
      </c>
      <c r="AJ116">
        <f t="shared" si="44"/>
        <v>5014474.923619708</v>
      </c>
      <c r="AK116">
        <f t="shared" si="45"/>
        <v>41.787291030164234</v>
      </c>
      <c r="AL116">
        <f t="shared" si="46"/>
        <v>173.98811758271555</v>
      </c>
      <c r="AM116">
        <f t="shared" si="47"/>
        <v>872459.05262632435</v>
      </c>
      <c r="AN116">
        <f t="shared" si="48"/>
        <v>20861.193915537515</v>
      </c>
      <c r="AO116" s="29">
        <v>478905.98781790398</v>
      </c>
      <c r="AP116">
        <f t="shared" si="49"/>
        <v>3448123.1122889086</v>
      </c>
      <c r="AQ116">
        <f t="shared" si="50"/>
        <v>4925890.160412726</v>
      </c>
      <c r="AR116">
        <f t="shared" si="51"/>
        <v>41.049084670106048</v>
      </c>
      <c r="AS116">
        <f t="shared" si="52"/>
        <v>174.50346919256748</v>
      </c>
      <c r="AT116">
        <f t="shared" si="53"/>
        <v>859584.92185355339</v>
      </c>
      <c r="AU116">
        <f t="shared" si="54"/>
        <v>20553.363149455945</v>
      </c>
      <c r="AV116" s="29">
        <v>457817.70090909197</v>
      </c>
      <c r="AW116">
        <f t="shared" si="55"/>
        <v>3296287.4465454621</v>
      </c>
      <c r="AX116">
        <f t="shared" si="56"/>
        <v>4708982.0664935168</v>
      </c>
      <c r="AY116">
        <f t="shared" si="57"/>
        <v>39.241517220779308</v>
      </c>
      <c r="AZ116">
        <f t="shared" si="58"/>
        <v>175.76535590247482</v>
      </c>
      <c r="BA116">
        <f t="shared" si="59"/>
        <v>827675.90885560424</v>
      </c>
      <c r="BB116">
        <f t="shared" si="60"/>
        <v>19790.393121464582</v>
      </c>
      <c r="BC116" s="29">
        <v>477647.05491378601</v>
      </c>
      <c r="BD116">
        <f t="shared" si="61"/>
        <v>3439058.7953792592</v>
      </c>
      <c r="BE116">
        <f t="shared" si="62"/>
        <v>4912941.1362560838</v>
      </c>
      <c r="BF116">
        <f t="shared" si="63"/>
        <v>40.941176135467366</v>
      </c>
      <c r="BG116">
        <f t="shared" si="64"/>
        <v>174.5788015658058</v>
      </c>
      <c r="BH116">
        <f t="shared" si="65"/>
        <v>857695.37573093537</v>
      </c>
      <c r="BI116">
        <f t="shared" si="66"/>
        <v>20508.182590027249</v>
      </c>
      <c r="BJ116" s="29">
        <v>466467.05839296902</v>
      </c>
      <c r="BK116">
        <f t="shared" si="67"/>
        <v>3358562.8204293768</v>
      </c>
      <c r="BL116">
        <f t="shared" si="68"/>
        <v>4797946.8863276811</v>
      </c>
      <c r="BM116">
        <f t="shared" si="69"/>
        <v>39.982890719397339</v>
      </c>
      <c r="BN116">
        <f t="shared" si="70"/>
        <v>175.24779327136412</v>
      </c>
      <c r="BO116">
        <f t="shared" si="71"/>
        <v>840829.60406213859</v>
      </c>
      <c r="BP116">
        <f t="shared" si="72"/>
        <v>20104.908496808985</v>
      </c>
    </row>
    <row r="117" spans="1:68" x14ac:dyDescent="0.25">
      <c r="A117">
        <v>6</v>
      </c>
      <c r="B117">
        <v>60</v>
      </c>
      <c r="C117">
        <f t="shared" si="75"/>
        <v>0.21160000000000001</v>
      </c>
      <c r="D117">
        <v>0.153</v>
      </c>
      <c r="E117">
        <f t="shared" si="22"/>
        <v>3.2374800000000001</v>
      </c>
      <c r="F117" s="29">
        <v>499996.8</v>
      </c>
      <c r="G117">
        <f t="shared" si="23"/>
        <v>3599976.96</v>
      </c>
      <c r="H117">
        <f t="shared" si="24"/>
        <v>5142824.2285714289</v>
      </c>
      <c r="I117">
        <f t="shared" si="25"/>
        <v>42.856868571428571</v>
      </c>
      <c r="J117">
        <f t="shared" si="26"/>
        <v>173.24143137466308</v>
      </c>
      <c r="K117">
        <f t="shared" si="27"/>
        <v>890950.2306660118</v>
      </c>
      <c r="L117">
        <f t="shared" si="28"/>
        <v>28844.335527766001</v>
      </c>
      <c r="M117" s="7">
        <v>490732.73806202202</v>
      </c>
      <c r="N117">
        <f t="shared" si="29"/>
        <v>3533275.7140465588</v>
      </c>
      <c r="O117">
        <f t="shared" si="30"/>
        <v>5047536.7343522264</v>
      </c>
      <c r="P117">
        <f t="shared" si="31"/>
        <v>42.062806119601888</v>
      </c>
      <c r="Q117">
        <f t="shared" si="32"/>
        <v>173.79577685990057</v>
      </c>
      <c r="R117">
        <f t="shared" si="33"/>
        <v>877240.56797563075</v>
      </c>
      <c r="S117">
        <f t="shared" si="34"/>
        <v>28400.487940097453</v>
      </c>
      <c r="T117" s="29">
        <v>486101.73723290599</v>
      </c>
      <c r="U117">
        <f t="shared" si="76"/>
        <v>3499932.508076923</v>
      </c>
      <c r="V117">
        <f t="shared" si="77"/>
        <v>4999903.5829670327</v>
      </c>
      <c r="W117">
        <f t="shared" si="78"/>
        <v>41.665863191391942</v>
      </c>
      <c r="X117">
        <f t="shared" si="35"/>
        <v>174.07288796072638</v>
      </c>
      <c r="Y117">
        <f t="shared" si="36"/>
        <v>870347.65621225466</v>
      </c>
      <c r="Z117">
        <f t="shared" si="37"/>
        <v>28177.331300340506</v>
      </c>
      <c r="AA117" s="29">
        <v>486098.646487344</v>
      </c>
      <c r="AB117">
        <f t="shared" si="79"/>
        <v>3499910.2547088768</v>
      </c>
      <c r="AC117">
        <f t="shared" si="38"/>
        <v>4999871.7924412526</v>
      </c>
      <c r="AD117">
        <f t="shared" si="39"/>
        <v>41.665598270343772</v>
      </c>
      <c r="AE117">
        <f t="shared" si="40"/>
        <v>174.07307290560905</v>
      </c>
      <c r="AF117">
        <f t="shared" si="41"/>
        <v>870343.04704432446</v>
      </c>
      <c r="AG117">
        <f t="shared" si="42"/>
        <v>28177.182079450598</v>
      </c>
      <c r="AH117" s="29">
        <v>479149.56973101699</v>
      </c>
      <c r="AI117">
        <f t="shared" si="43"/>
        <v>3449876.9020633223</v>
      </c>
      <c r="AJ117">
        <f t="shared" si="44"/>
        <v>4928395.5743761742</v>
      </c>
      <c r="AK117">
        <f t="shared" si="45"/>
        <v>41.06996311980145</v>
      </c>
      <c r="AL117">
        <f t="shared" si="46"/>
        <v>174.488893671082</v>
      </c>
      <c r="AM117">
        <f t="shared" si="47"/>
        <v>859950.29134635534</v>
      </c>
      <c r="AN117">
        <f t="shared" si="48"/>
        <v>27840.718692279988</v>
      </c>
      <c r="AO117" s="29">
        <v>457192.614341832</v>
      </c>
      <c r="AP117">
        <f t="shared" si="49"/>
        <v>3291786.8232611907</v>
      </c>
      <c r="AQ117">
        <f t="shared" si="50"/>
        <v>4702552.6046588439</v>
      </c>
      <c r="AR117">
        <f t="shared" si="51"/>
        <v>39.187938372157035</v>
      </c>
      <c r="AS117">
        <f t="shared" si="52"/>
        <v>175.80276000434321</v>
      </c>
      <c r="AT117">
        <f t="shared" si="53"/>
        <v>826721.72696463775</v>
      </c>
      <c r="AU117">
        <f t="shared" si="54"/>
        <v>26764.950566134758</v>
      </c>
      <c r="AV117" s="29">
        <v>414400.11594897899</v>
      </c>
      <c r="AW117">
        <f t="shared" si="55"/>
        <v>2983680.8348326487</v>
      </c>
      <c r="AX117">
        <f t="shared" si="56"/>
        <v>4262401.1926180692</v>
      </c>
      <c r="AY117">
        <f t="shared" si="57"/>
        <v>35.520009938483909</v>
      </c>
      <c r="AZ117">
        <f t="shared" si="58"/>
        <v>178.36338928822821</v>
      </c>
      <c r="BA117">
        <f t="shared" si="59"/>
        <v>760256.32322154485</v>
      </c>
      <c r="BB117">
        <f t="shared" si="60"/>
        <v>24613.146413032871</v>
      </c>
      <c r="BC117" s="29">
        <v>457868.46420686302</v>
      </c>
      <c r="BD117">
        <f t="shared" si="61"/>
        <v>3296652.9422894139</v>
      </c>
      <c r="BE117">
        <f t="shared" si="62"/>
        <v>4709504.2032705909</v>
      </c>
      <c r="BF117">
        <f t="shared" si="63"/>
        <v>39.245868360588254</v>
      </c>
      <c r="BG117">
        <f t="shared" si="64"/>
        <v>175.7623183143063</v>
      </c>
      <c r="BH117">
        <f t="shared" si="65"/>
        <v>827753.37687780906</v>
      </c>
      <c r="BI117">
        <f t="shared" si="66"/>
        <v>26798.350025743694</v>
      </c>
      <c r="BJ117" s="29">
        <v>436785.139044796</v>
      </c>
      <c r="BK117">
        <f t="shared" si="67"/>
        <v>3144853.0011225315</v>
      </c>
      <c r="BL117">
        <f t="shared" si="68"/>
        <v>4492647.1444607591</v>
      </c>
      <c r="BM117">
        <f t="shared" si="69"/>
        <v>37.438726203839657</v>
      </c>
      <c r="BN117">
        <f t="shared" si="70"/>
        <v>177.0239081218478</v>
      </c>
      <c r="BO117">
        <f t="shared" si="71"/>
        <v>795305.95532490325</v>
      </c>
      <c r="BP117">
        <f t="shared" si="72"/>
        <v>25747.871242452678</v>
      </c>
    </row>
    <row r="118" spans="1:68" x14ac:dyDescent="0.25">
      <c r="A118">
        <v>6</v>
      </c>
      <c r="B118">
        <v>80</v>
      </c>
      <c r="C118">
        <f t="shared" si="75"/>
        <v>0.21160000000000001</v>
      </c>
      <c r="D118">
        <v>0.17399999999999999</v>
      </c>
      <c r="E118">
        <f t="shared" si="22"/>
        <v>3.6818400000000002</v>
      </c>
      <c r="F118" s="29">
        <v>499996.8</v>
      </c>
      <c r="G118">
        <f t="shared" si="23"/>
        <v>3599976.96</v>
      </c>
      <c r="H118">
        <f t="shared" si="24"/>
        <v>5142824.2285714289</v>
      </c>
      <c r="I118">
        <f t="shared" si="25"/>
        <v>42.856868571428571</v>
      </c>
      <c r="J118">
        <f t="shared" si="26"/>
        <v>173.24143137466308</v>
      </c>
      <c r="K118">
        <f t="shared" si="27"/>
        <v>890950.2306660118</v>
      </c>
      <c r="L118">
        <f t="shared" si="28"/>
        <v>32803.36197275349</v>
      </c>
      <c r="M118" s="7">
        <v>490400.20020578703</v>
      </c>
      <c r="N118">
        <f t="shared" si="29"/>
        <v>3530881.4414816666</v>
      </c>
      <c r="O118">
        <f t="shared" si="30"/>
        <v>5044116.3449738091</v>
      </c>
      <c r="P118">
        <f t="shared" si="31"/>
        <v>42.034302874781744</v>
      </c>
      <c r="Q118">
        <f t="shared" si="32"/>
        <v>173.81567535156745</v>
      </c>
      <c r="R118">
        <f t="shared" si="33"/>
        <v>876746.48905350256</v>
      </c>
      <c r="S118">
        <f t="shared" si="34"/>
        <v>32280.402932567478</v>
      </c>
      <c r="T118" s="29">
        <v>485603.48630084901</v>
      </c>
      <c r="U118">
        <f t="shared" si="76"/>
        <v>3496345.1013661129</v>
      </c>
      <c r="V118">
        <f t="shared" si="77"/>
        <v>4994778.7162373038</v>
      </c>
      <c r="W118">
        <f t="shared" si="78"/>
        <v>41.623155968644198</v>
      </c>
      <c r="X118">
        <f t="shared" si="35"/>
        <v>174.10270243698423</v>
      </c>
      <c r="Y118">
        <f t="shared" si="36"/>
        <v>869604.4725716454</v>
      </c>
      <c r="Z118">
        <f t="shared" si="37"/>
        <v>32017.445312931868</v>
      </c>
      <c r="AA118" s="29">
        <v>485598.72739096999</v>
      </c>
      <c r="AB118">
        <f t="shared" si="79"/>
        <v>3496310.837214984</v>
      </c>
      <c r="AC118">
        <f t="shared" si="38"/>
        <v>4994729.7674499769</v>
      </c>
      <c r="AD118">
        <f t="shared" si="39"/>
        <v>41.62274806208314</v>
      </c>
      <c r="AE118">
        <f t="shared" si="40"/>
        <v>174.10298720194197</v>
      </c>
      <c r="AF118">
        <f t="shared" si="41"/>
        <v>869597.37277950195</v>
      </c>
      <c r="AG118">
        <f t="shared" si="42"/>
        <v>32017.183909944815</v>
      </c>
      <c r="AH118" s="29">
        <v>478399.69108645502</v>
      </c>
      <c r="AI118">
        <f t="shared" si="43"/>
        <v>3444477.775822476</v>
      </c>
      <c r="AJ118">
        <f t="shared" si="44"/>
        <v>4920682.5368892513</v>
      </c>
      <c r="AK118">
        <f t="shared" si="45"/>
        <v>41.005687807410432</v>
      </c>
      <c r="AL118">
        <f t="shared" si="46"/>
        <v>174.53376511558139</v>
      </c>
      <c r="AM118">
        <f t="shared" si="47"/>
        <v>858825.25010177167</v>
      </c>
      <c r="AN118">
        <f t="shared" si="48"/>
        <v>31620.571588347069</v>
      </c>
      <c r="AO118" s="29">
        <v>432706.72001423198</v>
      </c>
      <c r="AP118">
        <f t="shared" si="49"/>
        <v>3115488.3841024702</v>
      </c>
      <c r="AQ118">
        <f t="shared" si="50"/>
        <v>4450697.6915749572</v>
      </c>
      <c r="AR118">
        <f t="shared" si="51"/>
        <v>37.089147429791311</v>
      </c>
      <c r="AS118">
        <f t="shared" si="52"/>
        <v>177.2679536810891</v>
      </c>
      <c r="AT118">
        <f t="shared" si="53"/>
        <v>788966.0722386397</v>
      </c>
      <c r="AU118">
        <f t="shared" si="54"/>
        <v>29048.468434111132</v>
      </c>
      <c r="AV118" s="29">
        <v>365451.92246386397</v>
      </c>
      <c r="AW118">
        <f t="shared" si="55"/>
        <v>2631253.8417398208</v>
      </c>
      <c r="AX118">
        <f t="shared" si="56"/>
        <v>3758934.0596283153</v>
      </c>
      <c r="AY118">
        <f t="shared" si="57"/>
        <v>31.324450496902625</v>
      </c>
      <c r="AZ118">
        <f t="shared" si="58"/>
        <v>181.29236474744533</v>
      </c>
      <c r="BA118">
        <f t="shared" si="59"/>
        <v>681466.04459973192</v>
      </c>
      <c r="BB118">
        <f t="shared" si="60"/>
        <v>25090.489416490771</v>
      </c>
      <c r="BC118" s="29">
        <v>442517.51362759498</v>
      </c>
      <c r="BD118">
        <f t="shared" si="61"/>
        <v>3186126.0981186838</v>
      </c>
      <c r="BE118">
        <f t="shared" si="62"/>
        <v>4551608.7115981197</v>
      </c>
      <c r="BF118">
        <f t="shared" si="63"/>
        <v>37.930072596650994</v>
      </c>
      <c r="BG118">
        <f t="shared" si="64"/>
        <v>176.68089271554553</v>
      </c>
      <c r="BH118">
        <f t="shared" si="65"/>
        <v>804182.2904570098</v>
      </c>
      <c r="BI118">
        <f t="shared" si="66"/>
        <v>29608.705242962369</v>
      </c>
      <c r="BJ118" s="29">
        <v>413731.26427739399</v>
      </c>
      <c r="BK118">
        <f t="shared" si="67"/>
        <v>2978865.1027972368</v>
      </c>
      <c r="BL118">
        <f t="shared" si="68"/>
        <v>4255521.5754246246</v>
      </c>
      <c r="BM118">
        <f t="shared" si="69"/>
        <v>35.462679795205204</v>
      </c>
      <c r="BN118">
        <f t="shared" si="70"/>
        <v>178.40341221844164</v>
      </c>
      <c r="BO118">
        <f t="shared" si="71"/>
        <v>759199.56982495158</v>
      </c>
      <c r="BP118">
        <f t="shared" si="72"/>
        <v>27952.513441642997</v>
      </c>
    </row>
    <row r="119" spans="1:68" x14ac:dyDescent="0.25">
      <c r="A119">
        <v>6</v>
      </c>
      <c r="B119">
        <v>100</v>
      </c>
      <c r="C119">
        <f t="shared" si="75"/>
        <v>0.21160000000000001</v>
      </c>
      <c r="D119">
        <v>0.17399999999999999</v>
      </c>
      <c r="E119">
        <f t="shared" si="22"/>
        <v>3.6818400000000002</v>
      </c>
      <c r="F119" s="29">
        <v>499996.8</v>
      </c>
      <c r="G119">
        <f t="shared" si="23"/>
        <v>3599976.96</v>
      </c>
      <c r="H119">
        <f t="shared" si="24"/>
        <v>5142824.2285714289</v>
      </c>
      <c r="I119">
        <f t="shared" si="25"/>
        <v>42.856868571428571</v>
      </c>
      <c r="J119">
        <f t="shared" si="26"/>
        <v>173.24143137466308</v>
      </c>
      <c r="K119">
        <f t="shared" si="27"/>
        <v>890950.2306660118</v>
      </c>
      <c r="L119">
        <f t="shared" si="28"/>
        <v>32803.36197275349</v>
      </c>
      <c r="M119" s="7">
        <v>494473.39233035903</v>
      </c>
      <c r="N119">
        <f t="shared" si="29"/>
        <v>3560208.4247785849</v>
      </c>
      <c r="O119">
        <f t="shared" si="30"/>
        <v>5086012.0353979785</v>
      </c>
      <c r="P119">
        <f t="shared" si="31"/>
        <v>42.383433628316489</v>
      </c>
      <c r="Q119">
        <f t="shared" si="32"/>
        <v>173.57194256136395</v>
      </c>
      <c r="R119">
        <f t="shared" si="33"/>
        <v>882788.98887450376</v>
      </c>
      <c r="S119">
        <f t="shared" si="34"/>
        <v>32502.878107977031</v>
      </c>
      <c r="T119" s="29">
        <v>491712.60199637502</v>
      </c>
      <c r="U119">
        <f t="shared" si="76"/>
        <v>3540330.7343739001</v>
      </c>
      <c r="V119">
        <f t="shared" si="77"/>
        <v>5057615.334819858</v>
      </c>
      <c r="W119">
        <f t="shared" si="78"/>
        <v>42.146794456832147</v>
      </c>
      <c r="X119">
        <f t="shared" si="35"/>
        <v>173.73714349240021</v>
      </c>
      <c r="Y119">
        <f t="shared" si="36"/>
        <v>878695.64115496131</v>
      </c>
      <c r="Z119">
        <f t="shared" si="37"/>
        <v>32352.16759429983</v>
      </c>
      <c r="AA119" s="29">
        <v>491709.86069521698</v>
      </c>
      <c r="AB119">
        <f t="shared" si="79"/>
        <v>3540310.9970055623</v>
      </c>
      <c r="AC119">
        <f t="shared" si="38"/>
        <v>5057587.1385793742</v>
      </c>
      <c r="AD119">
        <f t="shared" si="39"/>
        <v>42.146559488161451</v>
      </c>
      <c r="AE119">
        <f t="shared" si="40"/>
        <v>173.73730752713257</v>
      </c>
      <c r="AF119">
        <f t="shared" si="41"/>
        <v>878691.57204063528</v>
      </c>
      <c r="AG119">
        <f t="shared" si="42"/>
        <v>32352.017776020926</v>
      </c>
      <c r="AH119" s="29">
        <v>487566.391042826</v>
      </c>
      <c r="AI119">
        <f t="shared" si="43"/>
        <v>3510478.0155083472</v>
      </c>
      <c r="AJ119">
        <f t="shared" si="44"/>
        <v>5014968.5935833529</v>
      </c>
      <c r="AK119">
        <f t="shared" si="45"/>
        <v>41.79140494652794</v>
      </c>
      <c r="AL119">
        <f t="shared" si="46"/>
        <v>173.98524560336728</v>
      </c>
      <c r="AM119">
        <f t="shared" si="47"/>
        <v>872530.54244777292</v>
      </c>
      <c r="AN119">
        <f t="shared" si="48"/>
        <v>32125.178524059083</v>
      </c>
      <c r="AO119" s="29">
        <v>410875.43452392402</v>
      </c>
      <c r="AP119">
        <f t="shared" si="49"/>
        <v>2958303.128572253</v>
      </c>
      <c r="AQ119">
        <f t="shared" si="50"/>
        <v>4226147.3265317902</v>
      </c>
      <c r="AR119">
        <f t="shared" si="51"/>
        <v>35.217894387764922</v>
      </c>
      <c r="AS119">
        <f t="shared" si="52"/>
        <v>178.57430014439052</v>
      </c>
      <c r="AT119">
        <f t="shared" si="53"/>
        <v>754681.30114250153</v>
      </c>
      <c r="AU119">
        <f t="shared" si="54"/>
        <v>27786.158017985079</v>
      </c>
      <c r="AV119" s="29">
        <v>321828.59630532499</v>
      </c>
      <c r="AW119">
        <f t="shared" si="55"/>
        <v>2317165.8933983399</v>
      </c>
      <c r="AX119">
        <f t="shared" si="56"/>
        <v>3310236.9905690569</v>
      </c>
      <c r="AY119">
        <f t="shared" si="57"/>
        <v>27.585308254742142</v>
      </c>
      <c r="AZ119">
        <f t="shared" si="58"/>
        <v>183.9027093315951</v>
      </c>
      <c r="BA119">
        <f t="shared" si="59"/>
        <v>608761.55109531549</v>
      </c>
      <c r="BB119">
        <f t="shared" si="60"/>
        <v>22413.626292847763</v>
      </c>
      <c r="BC119" s="29">
        <v>438446.87799126701</v>
      </c>
      <c r="BD119">
        <f t="shared" si="61"/>
        <v>3156817.5215371228</v>
      </c>
      <c r="BE119">
        <f t="shared" si="62"/>
        <v>4509739.3164816042</v>
      </c>
      <c r="BF119">
        <f t="shared" si="63"/>
        <v>37.581160970680031</v>
      </c>
      <c r="BG119">
        <f t="shared" si="64"/>
        <v>176.92447252990263</v>
      </c>
      <c r="BH119">
        <f t="shared" si="65"/>
        <v>797883.24981587147</v>
      </c>
      <c r="BI119">
        <f t="shared" si="66"/>
        <v>29376.784645020682</v>
      </c>
      <c r="BJ119" s="29">
        <v>407595.82623608498</v>
      </c>
      <c r="BK119">
        <f t="shared" si="67"/>
        <v>2934689.9488998121</v>
      </c>
      <c r="BL119">
        <f t="shared" si="68"/>
        <v>4192414.2127140174</v>
      </c>
      <c r="BM119">
        <f t="shared" si="69"/>
        <v>34.93678510595015</v>
      </c>
      <c r="BN119">
        <f t="shared" si="70"/>
        <v>178.77054624678951</v>
      </c>
      <c r="BO119">
        <f t="shared" si="71"/>
        <v>749480.17889968888</v>
      </c>
      <c r="BP119">
        <f t="shared" si="72"/>
        <v>27594.661018800307</v>
      </c>
    </row>
    <row r="120" spans="1:68" x14ac:dyDescent="0.25">
      <c r="A120">
        <v>6</v>
      </c>
      <c r="B120">
        <v>120</v>
      </c>
      <c r="C120">
        <f t="shared" si="75"/>
        <v>0.21160000000000001</v>
      </c>
      <c r="D120">
        <v>0.153</v>
      </c>
      <c r="E120">
        <f t="shared" si="22"/>
        <v>3.2374800000000001</v>
      </c>
      <c r="F120" s="29">
        <v>499996.8</v>
      </c>
      <c r="G120">
        <f t="shared" si="23"/>
        <v>3599976.96</v>
      </c>
      <c r="H120">
        <f t="shared" si="24"/>
        <v>5142824.2285714289</v>
      </c>
      <c r="I120">
        <f t="shared" si="25"/>
        <v>42.856868571428571</v>
      </c>
      <c r="J120">
        <f t="shared" si="26"/>
        <v>173.24143137466308</v>
      </c>
      <c r="K120">
        <f t="shared" si="27"/>
        <v>890950.2306660118</v>
      </c>
      <c r="L120">
        <f t="shared" si="28"/>
        <v>28844.335527766001</v>
      </c>
      <c r="M120" s="7">
        <v>500411.45014417102</v>
      </c>
      <c r="N120">
        <f t="shared" si="29"/>
        <v>3602962.4410380316</v>
      </c>
      <c r="O120">
        <f t="shared" si="30"/>
        <v>5147089.2014829023</v>
      </c>
      <c r="P120">
        <f t="shared" si="31"/>
        <v>42.892410012357516</v>
      </c>
      <c r="Q120">
        <f t="shared" si="32"/>
        <v>173.21661942533532</v>
      </c>
      <c r="R120">
        <f t="shared" si="33"/>
        <v>891561.3913615169</v>
      </c>
      <c r="S120">
        <f t="shared" si="34"/>
        <v>28864.121733050841</v>
      </c>
      <c r="T120" s="29">
        <v>500618.20630092901</v>
      </c>
      <c r="U120">
        <f t="shared" si="76"/>
        <v>3604451.0853666891</v>
      </c>
      <c r="V120">
        <f t="shared" si="77"/>
        <v>5149215.8362381272</v>
      </c>
      <c r="W120">
        <f t="shared" si="78"/>
        <v>42.910131968651058</v>
      </c>
      <c r="X120">
        <f t="shared" si="35"/>
        <v>173.20424749358324</v>
      </c>
      <c r="Y120">
        <f t="shared" si="36"/>
        <v>891866.05409766675</v>
      </c>
      <c r="Z120">
        <f t="shared" si="37"/>
        <v>28873.985128201144</v>
      </c>
      <c r="AA120" s="29">
        <v>500619.91347832698</v>
      </c>
      <c r="AB120">
        <f t="shared" si="79"/>
        <v>3604463.3770439546</v>
      </c>
      <c r="AC120">
        <f t="shared" si="38"/>
        <v>5149233.3957770783</v>
      </c>
      <c r="AD120">
        <f t="shared" si="39"/>
        <v>42.910278298142316</v>
      </c>
      <c r="AE120">
        <f t="shared" si="40"/>
        <v>173.20414533903272</v>
      </c>
      <c r="AF120">
        <f t="shared" si="41"/>
        <v>891868.56946677412</v>
      </c>
      <c r="AG120">
        <f t="shared" si="42"/>
        <v>28874.066562772921</v>
      </c>
      <c r="AH120" s="29">
        <v>500931.47021749098</v>
      </c>
      <c r="AI120">
        <f t="shared" si="43"/>
        <v>3606706.5855659349</v>
      </c>
      <c r="AJ120">
        <f t="shared" si="44"/>
        <v>5152437.9793799073</v>
      </c>
      <c r="AK120">
        <f t="shared" si="45"/>
        <v>42.936983161499228</v>
      </c>
      <c r="AL120">
        <f t="shared" si="46"/>
        <v>173.18550232121751</v>
      </c>
      <c r="AM120">
        <f t="shared" si="47"/>
        <v>892327.55963782826</v>
      </c>
      <c r="AN120">
        <f t="shared" si="48"/>
        <v>28888.926277762763</v>
      </c>
      <c r="AO120" s="29">
        <v>396874.95768168801</v>
      </c>
      <c r="AP120">
        <f t="shared" si="49"/>
        <v>2857499.695308154</v>
      </c>
      <c r="AQ120">
        <f t="shared" si="50"/>
        <v>4082142.4218687918</v>
      </c>
      <c r="AR120">
        <f t="shared" si="51"/>
        <v>34.017853515573265</v>
      </c>
      <c r="AS120">
        <f t="shared" si="52"/>
        <v>179.41206452686396</v>
      </c>
      <c r="AT120">
        <f t="shared" si="53"/>
        <v>732385.59960017237</v>
      </c>
      <c r="AU120">
        <f t="shared" si="54"/>
        <v>23710.837309935661</v>
      </c>
      <c r="AV120" s="29">
        <v>293874.69243347098</v>
      </c>
      <c r="AW120">
        <f t="shared" si="55"/>
        <v>2115897.7855209913</v>
      </c>
      <c r="AX120">
        <f t="shared" si="56"/>
        <v>3022711.1221728451</v>
      </c>
      <c r="AY120">
        <f t="shared" si="57"/>
        <v>25.189259351440374</v>
      </c>
      <c r="AZ120">
        <f t="shared" si="58"/>
        <v>185.57542271691898</v>
      </c>
      <c r="BA120">
        <f t="shared" si="59"/>
        <v>560940.89424835821</v>
      </c>
      <c r="BB120">
        <f t="shared" si="60"/>
        <v>18160.349263111748</v>
      </c>
      <c r="BC120" s="29">
        <v>446871.87873889098</v>
      </c>
      <c r="BD120">
        <f t="shared" si="61"/>
        <v>3217477.526920015</v>
      </c>
      <c r="BE120">
        <f t="shared" si="62"/>
        <v>4596396.4670285927</v>
      </c>
      <c r="BF120">
        <f t="shared" si="63"/>
        <v>38.303303891904939</v>
      </c>
      <c r="BG120">
        <f t="shared" si="64"/>
        <v>176.42033501885882</v>
      </c>
      <c r="BH120">
        <f t="shared" si="65"/>
        <v>810897.80459268345</v>
      </c>
      <c r="BI120">
        <f t="shared" si="66"/>
        <v>26252.65424412721</v>
      </c>
      <c r="BJ120" s="29">
        <v>420222.73960698</v>
      </c>
      <c r="BK120">
        <f t="shared" si="67"/>
        <v>3025603.7251702561</v>
      </c>
      <c r="BL120">
        <f t="shared" si="68"/>
        <v>4322291.0359575087</v>
      </c>
      <c r="BM120">
        <f t="shared" si="69"/>
        <v>36.019091966312573</v>
      </c>
      <c r="BN120">
        <f t="shared" si="70"/>
        <v>178.01497353295161</v>
      </c>
      <c r="BO120">
        <f t="shared" si="71"/>
        <v>769432.52436768997</v>
      </c>
      <c r="BP120">
        <f t="shared" si="72"/>
        <v>24910.224089899089</v>
      </c>
    </row>
    <row r="121" spans="1:68" x14ac:dyDescent="0.25">
      <c r="A121">
        <v>6</v>
      </c>
      <c r="B121">
        <v>140</v>
      </c>
      <c r="C121">
        <f t="shared" si="75"/>
        <v>0.21160000000000001</v>
      </c>
      <c r="D121">
        <v>0.113</v>
      </c>
      <c r="E121">
        <f t="shared" si="22"/>
        <v>2.3910800000000001</v>
      </c>
      <c r="F121" s="29">
        <v>499996.8</v>
      </c>
      <c r="G121">
        <f t="shared" si="23"/>
        <v>3599976.96</v>
      </c>
      <c r="H121">
        <f t="shared" si="24"/>
        <v>5142824.2285714289</v>
      </c>
      <c r="I121">
        <f t="shared" si="25"/>
        <v>42.856868571428571</v>
      </c>
      <c r="J121">
        <f t="shared" si="26"/>
        <v>173.24143137466308</v>
      </c>
      <c r="K121">
        <f t="shared" si="27"/>
        <v>890950.2306660118</v>
      </c>
      <c r="L121">
        <f t="shared" si="28"/>
        <v>21303.332775408875</v>
      </c>
      <c r="M121" s="7">
        <v>503446.75905599701</v>
      </c>
      <c r="N121">
        <f t="shared" si="29"/>
        <v>3624816.6652031788</v>
      </c>
      <c r="O121">
        <f t="shared" si="30"/>
        <v>5178309.5217188261</v>
      </c>
      <c r="P121">
        <f t="shared" si="31"/>
        <v>43.152579347656889</v>
      </c>
      <c r="Q121">
        <f t="shared" si="32"/>
        <v>173.03499177616405</v>
      </c>
      <c r="R121">
        <f t="shared" si="33"/>
        <v>896028.74550504913</v>
      </c>
      <c r="S121">
        <f t="shared" si="34"/>
        <v>21424.764128022129</v>
      </c>
      <c r="T121" s="29">
        <v>505172.03491530102</v>
      </c>
      <c r="U121">
        <f t="shared" si="76"/>
        <v>3637238.6513901674</v>
      </c>
      <c r="V121">
        <f t="shared" si="77"/>
        <v>5196055.2162716677</v>
      </c>
      <c r="W121">
        <f t="shared" si="78"/>
        <v>43.300460135597227</v>
      </c>
      <c r="X121">
        <f t="shared" si="35"/>
        <v>172.93175424496042</v>
      </c>
      <c r="Y121">
        <f t="shared" si="36"/>
        <v>898562.94370353676</v>
      </c>
      <c r="Z121">
        <f t="shared" si="37"/>
        <v>21485.358834306528</v>
      </c>
      <c r="AA121" s="29">
        <v>505171.14306457603</v>
      </c>
      <c r="AB121">
        <f t="shared" si="79"/>
        <v>3637232.2300649476</v>
      </c>
      <c r="AC121">
        <f t="shared" si="38"/>
        <v>5196046.0429499252</v>
      </c>
      <c r="AD121">
        <f t="shared" si="39"/>
        <v>43.300383691249372</v>
      </c>
      <c r="AE121">
        <f t="shared" si="40"/>
        <v>172.9318076117693</v>
      </c>
      <c r="AF121">
        <f t="shared" si="41"/>
        <v>898561.6346413116</v>
      </c>
      <c r="AG121">
        <f t="shared" si="42"/>
        <v>21485.327533581472</v>
      </c>
      <c r="AH121" s="29">
        <v>507758.31459686399</v>
      </c>
      <c r="AI121">
        <f t="shared" si="43"/>
        <v>3655859.8650974208</v>
      </c>
      <c r="AJ121">
        <f t="shared" si="44"/>
        <v>5222656.9501391724</v>
      </c>
      <c r="AK121">
        <f t="shared" si="45"/>
        <v>43.522141251159766</v>
      </c>
      <c r="AL121">
        <f t="shared" si="46"/>
        <v>172.77699573032243</v>
      </c>
      <c r="AM121">
        <f t="shared" si="47"/>
        <v>902354.97757513449</v>
      </c>
      <c r="AN121">
        <f t="shared" si="48"/>
        <v>21576.029397803526</v>
      </c>
      <c r="AO121" s="29">
        <v>394267.78733265499</v>
      </c>
      <c r="AP121">
        <f t="shared" si="49"/>
        <v>2838728.0687951162</v>
      </c>
      <c r="AQ121">
        <f t="shared" si="50"/>
        <v>4055325.8125644512</v>
      </c>
      <c r="AR121">
        <f t="shared" si="51"/>
        <v>33.794381771370425</v>
      </c>
      <c r="AS121">
        <f t="shared" si="52"/>
        <v>179.56807310300556</v>
      </c>
      <c r="AT121">
        <f t="shared" si="53"/>
        <v>728207.04196707881</v>
      </c>
      <c r="AU121">
        <f t="shared" si="54"/>
        <v>17412.012939066426</v>
      </c>
      <c r="AV121" s="29">
        <v>288702.37276325299</v>
      </c>
      <c r="AW121">
        <f t="shared" si="55"/>
        <v>2078657.0838954216</v>
      </c>
      <c r="AX121">
        <f t="shared" si="56"/>
        <v>2969510.1198506025</v>
      </c>
      <c r="AY121">
        <f t="shared" si="57"/>
        <v>24.74591766542169</v>
      </c>
      <c r="AZ121">
        <f t="shared" si="58"/>
        <v>185.88492540338487</v>
      </c>
      <c r="BA121">
        <f t="shared" si="59"/>
        <v>551987.16711302567</v>
      </c>
      <c r="BB121">
        <f t="shared" si="60"/>
        <v>13198.454755406134</v>
      </c>
      <c r="BC121" s="29">
        <v>463025.75950025202</v>
      </c>
      <c r="BD121">
        <f t="shared" si="61"/>
        <v>3333785.4684018148</v>
      </c>
      <c r="BE121">
        <f t="shared" si="62"/>
        <v>4762550.66914545</v>
      </c>
      <c r="BF121">
        <f t="shared" si="63"/>
        <v>39.687922242878749</v>
      </c>
      <c r="BG121">
        <f t="shared" si="64"/>
        <v>175.45371466063182</v>
      </c>
      <c r="BH121">
        <f t="shared" si="65"/>
        <v>835607.20616104687</v>
      </c>
      <c r="BI121">
        <f t="shared" si="66"/>
        <v>19980.036785075557</v>
      </c>
      <c r="BJ121" s="29">
        <v>444469.92152885499</v>
      </c>
      <c r="BK121">
        <f t="shared" si="67"/>
        <v>3200183.4350077561</v>
      </c>
      <c r="BL121">
        <f t="shared" si="68"/>
        <v>4571690.6214396516</v>
      </c>
      <c r="BM121">
        <f t="shared" si="69"/>
        <v>38.09742184533043</v>
      </c>
      <c r="BN121">
        <f t="shared" si="70"/>
        <v>176.56406399476933</v>
      </c>
      <c r="BO121">
        <f t="shared" si="71"/>
        <v>807196.27544815745</v>
      </c>
      <c r="BP121">
        <f t="shared" si="72"/>
        <v>19300.708702985801</v>
      </c>
    </row>
    <row r="122" spans="1:68" x14ac:dyDescent="0.25">
      <c r="A122">
        <v>6</v>
      </c>
      <c r="B122">
        <v>160</v>
      </c>
      <c r="C122">
        <f t="shared" si="75"/>
        <v>0.21160000000000001</v>
      </c>
      <c r="D122">
        <v>0.06</v>
      </c>
      <c r="E122">
        <f t="shared" si="22"/>
        <v>1.2696000000000001</v>
      </c>
      <c r="F122" s="29">
        <v>499996.8</v>
      </c>
      <c r="G122">
        <f t="shared" si="23"/>
        <v>3599976.96</v>
      </c>
      <c r="H122">
        <f t="shared" si="24"/>
        <v>5142824.2285714289</v>
      </c>
      <c r="I122">
        <f t="shared" si="25"/>
        <v>42.856868571428571</v>
      </c>
      <c r="J122">
        <f t="shared" si="26"/>
        <v>173.24143137466308</v>
      </c>
      <c r="K122">
        <f t="shared" si="27"/>
        <v>890950.2306660118</v>
      </c>
      <c r="L122">
        <f t="shared" si="28"/>
        <v>11311.504128535686</v>
      </c>
      <c r="M122" s="7">
        <v>500056.29014180502</v>
      </c>
      <c r="N122">
        <f t="shared" si="29"/>
        <v>3600405.2890209961</v>
      </c>
      <c r="O122">
        <f t="shared" si="30"/>
        <v>5143436.1271728519</v>
      </c>
      <c r="P122">
        <f t="shared" si="31"/>
        <v>42.861967726440433</v>
      </c>
      <c r="Q122">
        <f t="shared" si="32"/>
        <v>173.23787158720197</v>
      </c>
      <c r="R122">
        <f t="shared" si="33"/>
        <v>891037.92731614586</v>
      </c>
      <c r="S122">
        <f t="shared" si="34"/>
        <v>11312.617525205789</v>
      </c>
      <c r="T122" s="29">
        <v>500091.52092126402</v>
      </c>
      <c r="U122">
        <f t="shared" si="76"/>
        <v>3600658.9506331012</v>
      </c>
      <c r="V122">
        <f t="shared" si="77"/>
        <v>5143798.5009044306</v>
      </c>
      <c r="W122">
        <f t="shared" si="78"/>
        <v>42.864987507536924</v>
      </c>
      <c r="X122">
        <f t="shared" si="35"/>
        <v>173.2357634381346</v>
      </c>
      <c r="Y122">
        <f t="shared" si="36"/>
        <v>891089.8602761114</v>
      </c>
      <c r="Z122">
        <f t="shared" si="37"/>
        <v>11313.276866065511</v>
      </c>
      <c r="AA122" s="29">
        <v>500075.051920673</v>
      </c>
      <c r="AB122">
        <f t="shared" si="79"/>
        <v>3600540.3738288456</v>
      </c>
      <c r="AC122">
        <f t="shared" si="38"/>
        <v>5143629.1054697791</v>
      </c>
      <c r="AD122">
        <f t="shared" si="39"/>
        <v>42.86357587891483</v>
      </c>
      <c r="AE122">
        <f t="shared" si="40"/>
        <v>173.23674891471984</v>
      </c>
      <c r="AF122">
        <f t="shared" si="41"/>
        <v>891065.58385471313</v>
      </c>
      <c r="AG122">
        <f t="shared" si="42"/>
        <v>11312.968652619438</v>
      </c>
      <c r="AH122" s="29">
        <v>500114.177881009</v>
      </c>
      <c r="AI122">
        <f t="shared" si="43"/>
        <v>3600822.0807432649</v>
      </c>
      <c r="AJ122">
        <f t="shared" si="44"/>
        <v>5144031.5439189505</v>
      </c>
      <c r="AK122">
        <f t="shared" si="45"/>
        <v>42.86692953265792</v>
      </c>
      <c r="AL122">
        <f t="shared" si="46"/>
        <v>173.23440768474825</v>
      </c>
      <c r="AM122">
        <f t="shared" si="47"/>
        <v>891123.25762246049</v>
      </c>
      <c r="AN122">
        <f t="shared" si="48"/>
        <v>11313.700878774758</v>
      </c>
      <c r="AO122" s="29">
        <v>404056.87199584697</v>
      </c>
      <c r="AP122">
        <f t="shared" si="49"/>
        <v>2909209.4783700984</v>
      </c>
      <c r="AQ122">
        <f t="shared" si="50"/>
        <v>4156013.5405287123</v>
      </c>
      <c r="AR122">
        <f t="shared" si="51"/>
        <v>34.633446171072599</v>
      </c>
      <c r="AS122">
        <f t="shared" si="52"/>
        <v>178.98231116359082</v>
      </c>
      <c r="AT122">
        <f t="shared" si="53"/>
        <v>743852.90871100675</v>
      </c>
      <c r="AU122">
        <f t="shared" si="54"/>
        <v>9443.9565289949423</v>
      </c>
      <c r="AV122" s="29">
        <v>308307.301656809</v>
      </c>
      <c r="AW122">
        <f t="shared" si="55"/>
        <v>2219812.571929025</v>
      </c>
      <c r="AX122">
        <f t="shared" si="56"/>
        <v>3171160.8170414641</v>
      </c>
      <c r="AY122">
        <f t="shared" si="57"/>
        <v>26.426340142012197</v>
      </c>
      <c r="AZ122">
        <f t="shared" si="58"/>
        <v>184.71180027821791</v>
      </c>
      <c r="BA122">
        <f t="shared" si="59"/>
        <v>585750.8234874733</v>
      </c>
      <c r="BB122">
        <f t="shared" si="60"/>
        <v>7436.6924549969617</v>
      </c>
      <c r="BC122" s="29">
        <v>479801.95647770801</v>
      </c>
      <c r="BD122">
        <f t="shared" si="61"/>
        <v>3454574.0866394979</v>
      </c>
      <c r="BE122">
        <f t="shared" si="62"/>
        <v>4935105.8380564256</v>
      </c>
      <c r="BF122">
        <f t="shared" si="63"/>
        <v>41.125881983803545</v>
      </c>
      <c r="BG122">
        <f t="shared" si="64"/>
        <v>174.44985597357112</v>
      </c>
      <c r="BH122">
        <f t="shared" si="65"/>
        <v>860928.50266327348</v>
      </c>
      <c r="BI122">
        <f t="shared" si="66"/>
        <v>10930.348269812921</v>
      </c>
      <c r="BJ122" s="29">
        <v>469663.05817039602</v>
      </c>
      <c r="BK122">
        <f t="shared" si="67"/>
        <v>3381574.0188268516</v>
      </c>
      <c r="BL122">
        <f t="shared" si="68"/>
        <v>4830820.0268955026</v>
      </c>
      <c r="BM122">
        <f t="shared" si="69"/>
        <v>40.256833557462521</v>
      </c>
      <c r="BN122">
        <f t="shared" si="70"/>
        <v>175.05655015799786</v>
      </c>
      <c r="BO122">
        <f t="shared" si="71"/>
        <v>845666.68834249314</v>
      </c>
      <c r="BP122">
        <f t="shared" si="72"/>
        <v>10736.584275196294</v>
      </c>
    </row>
    <row r="123" spans="1:68" x14ac:dyDescent="0.25">
      <c r="A123">
        <v>6</v>
      </c>
      <c r="B123">
        <v>180</v>
      </c>
      <c r="C123">
        <f t="shared" si="75"/>
        <v>0.21160000000000001</v>
      </c>
      <c r="D123">
        <v>0</v>
      </c>
      <c r="E123">
        <f t="shared" si="22"/>
        <v>0</v>
      </c>
      <c r="F123" s="29">
        <v>499996.8</v>
      </c>
      <c r="G123">
        <f t="shared" si="23"/>
        <v>3599976.96</v>
      </c>
      <c r="H123">
        <f t="shared" si="24"/>
        <v>5142824.2285714289</v>
      </c>
      <c r="I123">
        <f t="shared" si="25"/>
        <v>42.856868571428571</v>
      </c>
      <c r="J123">
        <f t="shared" si="26"/>
        <v>173.24143137466308</v>
      </c>
      <c r="K123">
        <f t="shared" si="27"/>
        <v>890950.2306660118</v>
      </c>
      <c r="L123">
        <f t="shared" si="28"/>
        <v>0</v>
      </c>
      <c r="M123" s="7">
        <v>490811.86728166702</v>
      </c>
      <c r="N123">
        <f t="shared" si="29"/>
        <v>3533845.4444280025</v>
      </c>
      <c r="O123">
        <f t="shared" si="30"/>
        <v>5048350.6348971464</v>
      </c>
      <c r="P123">
        <f t="shared" si="31"/>
        <v>42.069588624142888</v>
      </c>
      <c r="Q123">
        <f t="shared" si="32"/>
        <v>173.79104190390024</v>
      </c>
      <c r="R123">
        <f t="shared" si="33"/>
        <v>877358.11673499132</v>
      </c>
      <c r="S123">
        <f t="shared" si="34"/>
        <v>0</v>
      </c>
      <c r="T123" s="29">
        <v>486230.91247916099</v>
      </c>
      <c r="U123">
        <f t="shared" si="76"/>
        <v>3500862.5698499591</v>
      </c>
      <c r="V123">
        <f t="shared" si="77"/>
        <v>5001232.2426427985</v>
      </c>
      <c r="W123">
        <f t="shared" si="78"/>
        <v>41.676935355356655</v>
      </c>
      <c r="X123">
        <f t="shared" si="35"/>
        <v>174.06515833682647</v>
      </c>
      <c r="Y123">
        <f t="shared" si="36"/>
        <v>870540.28219486051</v>
      </c>
      <c r="Z123">
        <f t="shared" si="37"/>
        <v>0</v>
      </c>
      <c r="AA123" s="29">
        <v>486196.36473600002</v>
      </c>
      <c r="AB123">
        <f t="shared" si="79"/>
        <v>3500613.8260992002</v>
      </c>
      <c r="AC123">
        <f t="shared" si="38"/>
        <v>5000876.894427429</v>
      </c>
      <c r="AD123">
        <f t="shared" si="39"/>
        <v>41.673974120228571</v>
      </c>
      <c r="AE123">
        <f t="shared" si="40"/>
        <v>174.06722561418005</v>
      </c>
      <c r="AF123">
        <f t="shared" si="41"/>
        <v>870488.76665103936</v>
      </c>
      <c r="AG123">
        <f t="shared" si="42"/>
        <v>0</v>
      </c>
      <c r="AH123" s="29">
        <v>479296.14710399997</v>
      </c>
      <c r="AI123">
        <f t="shared" si="43"/>
        <v>3450932.2591487998</v>
      </c>
      <c r="AJ123">
        <f t="shared" si="44"/>
        <v>4929903.227355428</v>
      </c>
      <c r="AK123">
        <f t="shared" si="45"/>
        <v>41.082526894628565</v>
      </c>
      <c r="AL123">
        <f t="shared" si="46"/>
        <v>174.48012273393854</v>
      </c>
      <c r="AM123">
        <f t="shared" si="47"/>
        <v>860170.12017541484</v>
      </c>
      <c r="AN123">
        <f t="shared" si="48"/>
        <v>0</v>
      </c>
      <c r="AO123" s="29">
        <v>424408.97349053499</v>
      </c>
      <c r="AP123">
        <f t="shared" si="49"/>
        <v>3055744.6091318522</v>
      </c>
      <c r="AQ123">
        <f t="shared" si="50"/>
        <v>4365349.4416169319</v>
      </c>
      <c r="AR123">
        <f t="shared" si="51"/>
        <v>36.377912013474436</v>
      </c>
      <c r="AS123">
        <f t="shared" si="52"/>
        <v>177.76447651889521</v>
      </c>
      <c r="AT123">
        <f t="shared" si="53"/>
        <v>776004.05831108545</v>
      </c>
      <c r="AU123">
        <f t="shared" si="54"/>
        <v>0</v>
      </c>
      <c r="AV123" s="29">
        <v>349020.04258981999</v>
      </c>
      <c r="AW123">
        <f t="shared" si="55"/>
        <v>2512944.3066467042</v>
      </c>
      <c r="AX123">
        <f t="shared" si="56"/>
        <v>3589920.43806672</v>
      </c>
      <c r="AY123">
        <f t="shared" si="57"/>
        <v>29.916003650555997</v>
      </c>
      <c r="AZ123">
        <f t="shared" si="58"/>
        <v>182.27562009300809</v>
      </c>
      <c r="BA123">
        <f t="shared" si="59"/>
        <v>654354.97393317462</v>
      </c>
      <c r="BB123">
        <f t="shared" si="60"/>
        <v>0</v>
      </c>
      <c r="BC123" s="29">
        <v>492360.73429594201</v>
      </c>
      <c r="BD123">
        <f t="shared" si="61"/>
        <v>3544997.2869307827</v>
      </c>
      <c r="BE123">
        <f t="shared" si="62"/>
        <v>5064281.838472547</v>
      </c>
      <c r="BF123">
        <f t="shared" si="63"/>
        <v>42.202348653937889</v>
      </c>
      <c r="BG123">
        <f t="shared" si="64"/>
        <v>173.69836037366599</v>
      </c>
      <c r="BH123">
        <f t="shared" si="65"/>
        <v>879657.45181281632</v>
      </c>
      <c r="BI123">
        <f t="shared" si="66"/>
        <v>0</v>
      </c>
      <c r="BJ123" s="29">
        <v>488523.41792385001</v>
      </c>
      <c r="BK123">
        <f t="shared" si="67"/>
        <v>3517368.6090517202</v>
      </c>
      <c r="BL123">
        <f t="shared" si="68"/>
        <v>5024812.2986453148</v>
      </c>
      <c r="BM123">
        <f t="shared" si="69"/>
        <v>41.873435822044286</v>
      </c>
      <c r="BN123">
        <f t="shared" si="70"/>
        <v>173.92797876574267</v>
      </c>
      <c r="BO123">
        <f t="shared" si="71"/>
        <v>873955.44678062492</v>
      </c>
      <c r="BP123">
        <f t="shared" si="72"/>
        <v>0</v>
      </c>
    </row>
    <row r="124" spans="1:68" x14ac:dyDescent="0.25">
      <c r="A124">
        <v>8</v>
      </c>
      <c r="B124">
        <v>0</v>
      </c>
      <c r="C124">
        <f>$AB$6</f>
        <v>0.183</v>
      </c>
      <c r="D124" cm="1">
        <f t="array" ref="D124:D133">$AD$2:$AD$11</f>
        <v>0</v>
      </c>
      <c r="E124">
        <f t="shared" si="22"/>
        <v>0</v>
      </c>
      <c r="F124" s="29">
        <v>499996.8</v>
      </c>
      <c r="G124">
        <f t="shared" si="23"/>
        <v>3599976.96</v>
      </c>
      <c r="H124">
        <f t="shared" si="24"/>
        <v>5142824.2285714289</v>
      </c>
      <c r="I124">
        <f t="shared" si="25"/>
        <v>42.856868571428571</v>
      </c>
      <c r="J124">
        <f t="shared" si="26"/>
        <v>173.24143137466308</v>
      </c>
      <c r="K124">
        <f t="shared" si="27"/>
        <v>890950.2306660118</v>
      </c>
      <c r="L124">
        <f t="shared" si="28"/>
        <v>0</v>
      </c>
      <c r="M124" s="7">
        <v>500030.59011603403</v>
      </c>
      <c r="N124">
        <f t="shared" si="29"/>
        <v>3600220.2488354449</v>
      </c>
      <c r="O124">
        <f t="shared" si="30"/>
        <v>5143171.784050636</v>
      </c>
      <c r="P124">
        <f t="shared" si="31"/>
        <v>42.859764867088636</v>
      </c>
      <c r="Q124">
        <f t="shared" si="32"/>
        <v>173.23940943240981</v>
      </c>
      <c r="R124">
        <f t="shared" si="33"/>
        <v>891000.04247836582</v>
      </c>
      <c r="S124">
        <f t="shared" si="34"/>
        <v>0</v>
      </c>
      <c r="T124" s="29">
        <v>500047.48260916403</v>
      </c>
      <c r="U124">
        <f t="shared" si="76"/>
        <v>3600341.8747859811</v>
      </c>
      <c r="V124">
        <f t="shared" si="77"/>
        <v>5143345.5354085444</v>
      </c>
      <c r="W124">
        <f t="shared" si="78"/>
        <v>42.861212795071204</v>
      </c>
      <c r="X124">
        <f t="shared" si="35"/>
        <v>173.23839861476162</v>
      </c>
      <c r="Y124">
        <f t="shared" si="36"/>
        <v>891024.94407655986</v>
      </c>
      <c r="Z124">
        <f t="shared" si="37"/>
        <v>0</v>
      </c>
      <c r="AA124" s="29">
        <v>500047.49030399998</v>
      </c>
      <c r="AB124">
        <f t="shared" si="79"/>
        <v>3600341.9301887997</v>
      </c>
      <c r="AC124">
        <f t="shared" si="38"/>
        <v>5143345.6145554278</v>
      </c>
      <c r="AD124">
        <f t="shared" si="39"/>
        <v>42.861213454628569</v>
      </c>
      <c r="AE124">
        <f t="shared" si="40"/>
        <v>173.23839815431592</v>
      </c>
      <c r="AF124">
        <f t="shared" si="41"/>
        <v>891024.95541960793</v>
      </c>
      <c r="AG124">
        <f t="shared" si="42"/>
        <v>0</v>
      </c>
      <c r="AH124" s="29">
        <v>500072.835456</v>
      </c>
      <c r="AI124">
        <f t="shared" si="43"/>
        <v>3600524.4152831999</v>
      </c>
      <c r="AJ124">
        <f t="shared" si="44"/>
        <v>5143606.3075474286</v>
      </c>
      <c r="AK124">
        <f t="shared" si="45"/>
        <v>42.863385896228571</v>
      </c>
      <c r="AL124">
        <f t="shared" si="46"/>
        <v>173.23688154414231</v>
      </c>
      <c r="AM124">
        <f t="shared" si="47"/>
        <v>891062.31661029707</v>
      </c>
      <c r="AN124">
        <f t="shared" si="48"/>
        <v>0</v>
      </c>
      <c r="AO124" s="29">
        <v>500274.78427216999</v>
      </c>
      <c r="AP124">
        <f t="shared" si="49"/>
        <v>3601978.4467596239</v>
      </c>
      <c r="AQ124">
        <f t="shared" si="50"/>
        <v>5145683.4953708909</v>
      </c>
      <c r="AR124">
        <f t="shared" si="51"/>
        <v>42.880695794757429</v>
      </c>
      <c r="AS124">
        <f t="shared" si="52"/>
        <v>173.22479727535801</v>
      </c>
      <c r="AT124">
        <f t="shared" si="53"/>
        <v>891359.98032877827</v>
      </c>
      <c r="AU124">
        <f t="shared" si="54"/>
        <v>0</v>
      </c>
      <c r="AV124" s="29">
        <v>500552.72428782599</v>
      </c>
      <c r="AW124">
        <f t="shared" si="55"/>
        <v>3603979.6148723471</v>
      </c>
      <c r="AX124">
        <f t="shared" si="56"/>
        <v>5148542.3069604961</v>
      </c>
      <c r="AY124">
        <f t="shared" si="57"/>
        <v>42.9045192246708</v>
      </c>
      <c r="AZ124">
        <f t="shared" si="58"/>
        <v>173.20816582428643</v>
      </c>
      <c r="BA124">
        <f t="shared" si="59"/>
        <v>891769.56965736777</v>
      </c>
      <c r="BB124">
        <f t="shared" si="60"/>
        <v>0</v>
      </c>
      <c r="BC124" s="29">
        <v>500024.89234806702</v>
      </c>
      <c r="BD124">
        <f t="shared" si="61"/>
        <v>3600179.2249060827</v>
      </c>
      <c r="BE124">
        <f t="shared" si="62"/>
        <v>5143113.1784372609</v>
      </c>
      <c r="BF124">
        <f t="shared" si="63"/>
        <v>42.859276486977173</v>
      </c>
      <c r="BG124">
        <f t="shared" si="64"/>
        <v>173.23975037701592</v>
      </c>
      <c r="BH124">
        <f t="shared" si="65"/>
        <v>890991.64319321199</v>
      </c>
      <c r="BI124">
        <f t="shared" si="66"/>
        <v>0</v>
      </c>
      <c r="BJ124" s="29">
        <v>500038.94281754299</v>
      </c>
      <c r="BK124">
        <f t="shared" si="67"/>
        <v>3600280.3882863098</v>
      </c>
      <c r="BL124">
        <f t="shared" si="68"/>
        <v>5143257.6975518716</v>
      </c>
      <c r="BM124">
        <f t="shared" si="69"/>
        <v>42.860480812932266</v>
      </c>
      <c r="BN124">
        <f t="shared" si="70"/>
        <v>173.2389096211605</v>
      </c>
      <c r="BO124">
        <f t="shared" si="71"/>
        <v>891012.35542452673</v>
      </c>
      <c r="BP124">
        <f t="shared" si="72"/>
        <v>0</v>
      </c>
    </row>
    <row r="125" spans="1:68" x14ac:dyDescent="0.25">
      <c r="A125">
        <v>8</v>
      </c>
      <c r="B125">
        <v>20</v>
      </c>
      <c r="C125">
        <f t="shared" ref="C125:C133" si="80">$AB$6</f>
        <v>0.183</v>
      </c>
      <c r="D125">
        <v>0.06</v>
      </c>
      <c r="E125">
        <f t="shared" si="22"/>
        <v>1.0980000000000001</v>
      </c>
      <c r="F125" s="29">
        <v>499996.8</v>
      </c>
      <c r="G125">
        <f t="shared" si="23"/>
        <v>3599976.96</v>
      </c>
      <c r="H125">
        <f t="shared" si="24"/>
        <v>5142824.2285714289</v>
      </c>
      <c r="I125">
        <f t="shared" si="25"/>
        <v>42.856868571428571</v>
      </c>
      <c r="J125">
        <f t="shared" si="26"/>
        <v>173.24143137466308</v>
      </c>
      <c r="K125">
        <f t="shared" si="27"/>
        <v>890950.2306660118</v>
      </c>
      <c r="L125">
        <f t="shared" si="28"/>
        <v>9782.633532712809</v>
      </c>
      <c r="M125" s="7">
        <v>498096.12842512201</v>
      </c>
      <c r="N125">
        <f t="shared" si="29"/>
        <v>3586292.1246608784</v>
      </c>
      <c r="O125">
        <f t="shared" si="30"/>
        <v>5123274.4638012545</v>
      </c>
      <c r="P125">
        <f t="shared" si="31"/>
        <v>42.693953865010457</v>
      </c>
      <c r="Q125">
        <f t="shared" si="32"/>
        <v>173.35516428291723</v>
      </c>
      <c r="R125">
        <f t="shared" si="33"/>
        <v>888146.08633874124</v>
      </c>
      <c r="S125">
        <f t="shared" si="34"/>
        <v>9751.8440279993793</v>
      </c>
      <c r="T125" s="29">
        <v>497145.758015214</v>
      </c>
      <c r="U125">
        <f t="shared" si="76"/>
        <v>3579449.4577095411</v>
      </c>
      <c r="V125">
        <f t="shared" si="77"/>
        <v>5113499.2252993444</v>
      </c>
      <c r="W125">
        <f t="shared" si="78"/>
        <v>42.612493544161204</v>
      </c>
      <c r="X125">
        <f t="shared" si="35"/>
        <v>173.41203280879313</v>
      </c>
      <c r="Y125">
        <f t="shared" si="36"/>
        <v>886742.29542534822</v>
      </c>
      <c r="Z125">
        <f t="shared" si="37"/>
        <v>9736.4304037703241</v>
      </c>
      <c r="AA125" s="29">
        <v>497145.86187993601</v>
      </c>
      <c r="AB125">
        <f t="shared" si="79"/>
        <v>3579450.2055355394</v>
      </c>
      <c r="AC125">
        <f t="shared" si="38"/>
        <v>5113500.2936221994</v>
      </c>
      <c r="AD125">
        <f t="shared" si="39"/>
        <v>42.612502446851664</v>
      </c>
      <c r="AE125">
        <f t="shared" si="40"/>
        <v>173.41202659370734</v>
      </c>
      <c r="AF125">
        <f t="shared" si="41"/>
        <v>886742.44890454318</v>
      </c>
      <c r="AG125">
        <f t="shared" si="42"/>
        <v>9736.4320889718838</v>
      </c>
      <c r="AH125" s="29">
        <v>495720.39281990501</v>
      </c>
      <c r="AI125">
        <f t="shared" si="43"/>
        <v>3569186.8283033161</v>
      </c>
      <c r="AJ125">
        <f t="shared" si="44"/>
        <v>5098838.3261475945</v>
      </c>
      <c r="AK125">
        <f t="shared" si="45"/>
        <v>42.490319384563286</v>
      </c>
      <c r="AL125">
        <f t="shared" si="46"/>
        <v>173.4973242032294</v>
      </c>
      <c r="AM125">
        <f t="shared" si="47"/>
        <v>884634.80613148073</v>
      </c>
      <c r="AN125">
        <f t="shared" si="48"/>
        <v>9713.2901713236588</v>
      </c>
      <c r="AO125" s="29">
        <v>493728.21144140803</v>
      </c>
      <c r="AP125">
        <f t="shared" si="49"/>
        <v>3554843.1223781379</v>
      </c>
      <c r="AQ125">
        <f t="shared" si="50"/>
        <v>5078347.3176830541</v>
      </c>
      <c r="AR125">
        <f t="shared" si="51"/>
        <v>42.319560980692117</v>
      </c>
      <c r="AS125">
        <f t="shared" si="52"/>
        <v>173.61653290027155</v>
      </c>
      <c r="AT125">
        <f t="shared" si="53"/>
        <v>881685.05415952578</v>
      </c>
      <c r="AU125">
        <f t="shared" si="54"/>
        <v>9680.9018946715933</v>
      </c>
      <c r="AV125" s="29">
        <v>487457.513750415</v>
      </c>
      <c r="AW125">
        <f t="shared" si="55"/>
        <v>3509694.0990029881</v>
      </c>
      <c r="AX125">
        <f t="shared" si="56"/>
        <v>5013848.7128614122</v>
      </c>
      <c r="AY125">
        <f t="shared" si="57"/>
        <v>41.782072607178435</v>
      </c>
      <c r="AZ125">
        <f t="shared" si="58"/>
        <v>173.99176063272449</v>
      </c>
      <c r="BA125">
        <f t="shared" si="59"/>
        <v>872368.36509687663</v>
      </c>
      <c r="BB125">
        <f t="shared" si="60"/>
        <v>9578.604648763705</v>
      </c>
      <c r="BC125" s="29">
        <v>492880.75710661401</v>
      </c>
      <c r="BD125">
        <f t="shared" si="61"/>
        <v>3548741.4511676207</v>
      </c>
      <c r="BE125">
        <f t="shared" si="62"/>
        <v>5069630.6445251722</v>
      </c>
      <c r="BF125">
        <f t="shared" si="63"/>
        <v>42.246922037709766</v>
      </c>
      <c r="BG125">
        <f t="shared" si="64"/>
        <v>173.66724310574978</v>
      </c>
      <c r="BH125">
        <f t="shared" si="65"/>
        <v>880428.77759911201</v>
      </c>
      <c r="BI125">
        <f t="shared" si="66"/>
        <v>9667.1079780382497</v>
      </c>
      <c r="BJ125" s="29">
        <v>489324.26851343497</v>
      </c>
      <c r="BK125">
        <f t="shared" si="67"/>
        <v>3523134.733296732</v>
      </c>
      <c r="BL125">
        <f t="shared" si="68"/>
        <v>5033049.6189953312</v>
      </c>
      <c r="BM125">
        <f t="shared" si="69"/>
        <v>41.942080158294431</v>
      </c>
      <c r="BN125">
        <f t="shared" si="70"/>
        <v>173.88005724798313</v>
      </c>
      <c r="BO125">
        <f t="shared" si="71"/>
        <v>875146.95588284789</v>
      </c>
      <c r="BP125">
        <f t="shared" si="72"/>
        <v>9609.1135755936702</v>
      </c>
    </row>
    <row r="126" spans="1:68" x14ac:dyDescent="0.25">
      <c r="A126">
        <v>8</v>
      </c>
      <c r="B126">
        <v>40</v>
      </c>
      <c r="C126">
        <f t="shared" si="80"/>
        <v>0.183</v>
      </c>
      <c r="D126">
        <v>0.113</v>
      </c>
      <c r="E126">
        <f t="shared" si="22"/>
        <v>2.0678999999999998</v>
      </c>
      <c r="F126" s="29">
        <v>499996.8</v>
      </c>
      <c r="G126">
        <f t="shared" si="23"/>
        <v>3599976.96</v>
      </c>
      <c r="H126">
        <f t="shared" si="24"/>
        <v>5142824.2285714289</v>
      </c>
      <c r="I126">
        <f t="shared" si="25"/>
        <v>42.856868571428571</v>
      </c>
      <c r="J126">
        <f t="shared" si="26"/>
        <v>173.24143137466308</v>
      </c>
      <c r="K126">
        <f t="shared" si="27"/>
        <v>890950.2306660118</v>
      </c>
      <c r="L126">
        <f t="shared" si="28"/>
        <v>18423.959819942458</v>
      </c>
      <c r="M126" s="7">
        <v>490162.56346969103</v>
      </c>
      <c r="N126">
        <f t="shared" si="29"/>
        <v>3529170.4569817754</v>
      </c>
      <c r="O126">
        <f t="shared" si="30"/>
        <v>5041672.0814025356</v>
      </c>
      <c r="P126">
        <f t="shared" si="31"/>
        <v>42.013934011687795</v>
      </c>
      <c r="Q126">
        <f t="shared" si="32"/>
        <v>173.82989512391606</v>
      </c>
      <c r="R126">
        <f t="shared" si="33"/>
        <v>876393.32915937831</v>
      </c>
      <c r="S126">
        <f t="shared" si="34"/>
        <v>18122.937653686782</v>
      </c>
      <c r="T126" s="29">
        <v>485245.47828342998</v>
      </c>
      <c r="U126">
        <f t="shared" si="76"/>
        <v>3493767.4436406959</v>
      </c>
      <c r="V126">
        <f t="shared" si="77"/>
        <v>4991096.3480581371</v>
      </c>
      <c r="W126">
        <f t="shared" si="78"/>
        <v>41.592469567151142</v>
      </c>
      <c r="X126">
        <f t="shared" si="35"/>
        <v>174.12412501915864</v>
      </c>
      <c r="Y126">
        <f t="shared" si="36"/>
        <v>869070.28449194122</v>
      </c>
      <c r="Z126">
        <f t="shared" si="37"/>
        <v>17971.504413008854</v>
      </c>
      <c r="AA126" s="29">
        <v>485245.37904825999</v>
      </c>
      <c r="AB126">
        <f t="shared" si="79"/>
        <v>3493766.729147472</v>
      </c>
      <c r="AC126">
        <f t="shared" si="38"/>
        <v>4991095.3273535315</v>
      </c>
      <c r="AD126">
        <f t="shared" si="39"/>
        <v>41.59246106127943</v>
      </c>
      <c r="AE126">
        <f t="shared" si="40"/>
        <v>174.12413095722002</v>
      </c>
      <c r="AF126">
        <f t="shared" si="41"/>
        <v>869070.13640007516</v>
      </c>
      <c r="AG126">
        <f t="shared" si="42"/>
        <v>17971.501350617153</v>
      </c>
      <c r="AH126" s="29">
        <v>477869.66857239098</v>
      </c>
      <c r="AI126">
        <f t="shared" si="43"/>
        <v>3440661.6137212152</v>
      </c>
      <c r="AJ126">
        <f t="shared" si="44"/>
        <v>4915230.8767445935</v>
      </c>
      <c r="AK126">
        <f t="shared" si="45"/>
        <v>40.960257306204944</v>
      </c>
      <c r="AL126">
        <f t="shared" si="46"/>
        <v>174.56548074849843</v>
      </c>
      <c r="AM126">
        <f t="shared" si="47"/>
        <v>858029.64098878333</v>
      </c>
      <c r="AN126">
        <f t="shared" si="48"/>
        <v>17743.19494600705</v>
      </c>
      <c r="AO126" s="29">
        <v>473723.98948280298</v>
      </c>
      <c r="AP126">
        <f t="shared" si="49"/>
        <v>3410812.7242761813</v>
      </c>
      <c r="AQ126">
        <f t="shared" si="50"/>
        <v>4872589.6061088303</v>
      </c>
      <c r="AR126">
        <f t="shared" si="51"/>
        <v>40.604913384240255</v>
      </c>
      <c r="AS126">
        <f t="shared" si="52"/>
        <v>174.81355103364359</v>
      </c>
      <c r="AT126">
        <f t="shared" si="53"/>
        <v>851794.69177350739</v>
      </c>
      <c r="AU126">
        <f t="shared" si="54"/>
        <v>17614.262431184357</v>
      </c>
      <c r="AV126" s="29">
        <v>447444.00785233499</v>
      </c>
      <c r="AW126">
        <f t="shared" si="55"/>
        <v>3221596.8565368121</v>
      </c>
      <c r="AX126">
        <f t="shared" si="56"/>
        <v>4602281.2236240171</v>
      </c>
      <c r="AY126">
        <f t="shared" si="57"/>
        <v>38.352343530200145</v>
      </c>
      <c r="AZ126">
        <f t="shared" si="58"/>
        <v>176.3860997996716</v>
      </c>
      <c r="BA126">
        <f t="shared" si="59"/>
        <v>811778.43521630066</v>
      </c>
      <c r="BB126">
        <f t="shared" si="60"/>
        <v>16786.766261837882</v>
      </c>
      <c r="BC126" s="29">
        <v>467962.79618355399</v>
      </c>
      <c r="BD126">
        <f t="shared" si="61"/>
        <v>3369332.1325215888</v>
      </c>
      <c r="BE126">
        <f t="shared" si="62"/>
        <v>4813331.617887984</v>
      </c>
      <c r="BF126">
        <f t="shared" si="63"/>
        <v>40.111096815733198</v>
      </c>
      <c r="BG126">
        <f t="shared" si="64"/>
        <v>175.158290902224</v>
      </c>
      <c r="BH126">
        <f t="shared" si="65"/>
        <v>843094.93973489595</v>
      </c>
      <c r="BI126">
        <f t="shared" si="66"/>
        <v>17434.360258777913</v>
      </c>
      <c r="BJ126" s="29">
        <v>451950.61291090201</v>
      </c>
      <c r="BK126">
        <f t="shared" si="67"/>
        <v>3254044.4129584944</v>
      </c>
      <c r="BL126">
        <f t="shared" si="68"/>
        <v>4648634.8756549917</v>
      </c>
      <c r="BM126">
        <f t="shared" si="69"/>
        <v>38.738623963791596</v>
      </c>
      <c r="BN126">
        <f t="shared" si="70"/>
        <v>176.11643232716435</v>
      </c>
      <c r="BO126">
        <f t="shared" si="71"/>
        <v>818700.98949198844</v>
      </c>
      <c r="BP126">
        <f t="shared" si="72"/>
        <v>16929.91776170483</v>
      </c>
    </row>
    <row r="127" spans="1:68" x14ac:dyDescent="0.25">
      <c r="A127">
        <v>8</v>
      </c>
      <c r="B127">
        <v>60</v>
      </c>
      <c r="C127">
        <f t="shared" si="80"/>
        <v>0.183</v>
      </c>
      <c r="D127">
        <v>0.153</v>
      </c>
      <c r="E127">
        <f t="shared" si="22"/>
        <v>2.7999000000000001</v>
      </c>
      <c r="F127" s="29">
        <v>499996.8</v>
      </c>
      <c r="G127">
        <f t="shared" si="23"/>
        <v>3599976.96</v>
      </c>
      <c r="H127">
        <f t="shared" si="24"/>
        <v>5142824.2285714289</v>
      </c>
      <c r="I127">
        <f t="shared" si="25"/>
        <v>42.856868571428571</v>
      </c>
      <c r="J127">
        <f t="shared" si="26"/>
        <v>173.24143137466308</v>
      </c>
      <c r="K127">
        <f t="shared" si="27"/>
        <v>890950.2306660118</v>
      </c>
      <c r="L127">
        <f t="shared" si="28"/>
        <v>24945.715508417663</v>
      </c>
      <c r="M127" s="7">
        <v>480963.50702654698</v>
      </c>
      <c r="N127">
        <f t="shared" si="29"/>
        <v>3462937.2505911384</v>
      </c>
      <c r="O127">
        <f t="shared" si="30"/>
        <v>4947053.2151301978</v>
      </c>
      <c r="P127">
        <f t="shared" si="31"/>
        <v>41.225443459418315</v>
      </c>
      <c r="Q127">
        <f t="shared" si="32"/>
        <v>174.38035079248155</v>
      </c>
      <c r="R127">
        <f t="shared" si="33"/>
        <v>862668.87504347751</v>
      </c>
      <c r="S127">
        <f t="shared" si="34"/>
        <v>24153.865832342326</v>
      </c>
      <c r="T127" s="29">
        <v>471448.01146390999</v>
      </c>
      <c r="U127">
        <f t="shared" si="76"/>
        <v>3394425.6825401522</v>
      </c>
      <c r="V127">
        <f t="shared" si="77"/>
        <v>4849179.5464859316</v>
      </c>
      <c r="W127">
        <f t="shared" si="78"/>
        <v>40.409829554049431</v>
      </c>
      <c r="X127">
        <f t="shared" si="35"/>
        <v>174.94974163207871</v>
      </c>
      <c r="Y127">
        <f t="shared" si="36"/>
        <v>848362.70878527442</v>
      </c>
      <c r="Z127">
        <f t="shared" si="37"/>
        <v>23753.307483278899</v>
      </c>
      <c r="AA127" s="29">
        <v>471444.55858776998</v>
      </c>
      <c r="AB127">
        <f t="shared" si="79"/>
        <v>3394400.8218319439</v>
      </c>
      <c r="AC127">
        <f t="shared" si="38"/>
        <v>4849144.0311884917</v>
      </c>
      <c r="AD127">
        <f t="shared" si="39"/>
        <v>40.409533593237427</v>
      </c>
      <c r="AE127">
        <f t="shared" si="40"/>
        <v>174.94994824623046</v>
      </c>
      <c r="AF127">
        <f t="shared" si="41"/>
        <v>848357.4972949439</v>
      </c>
      <c r="AG127">
        <f t="shared" si="42"/>
        <v>23753.161566761133</v>
      </c>
      <c r="AH127" s="29">
        <v>457168.437881655</v>
      </c>
      <c r="AI127">
        <f t="shared" si="43"/>
        <v>3291612.7527479162</v>
      </c>
      <c r="AJ127">
        <f t="shared" si="44"/>
        <v>4702303.9324970227</v>
      </c>
      <c r="AK127">
        <f t="shared" si="45"/>
        <v>39.185866104141859</v>
      </c>
      <c r="AL127">
        <f t="shared" si="46"/>
        <v>175.80420668201418</v>
      </c>
      <c r="AM127">
        <f t="shared" si="47"/>
        <v>826684.81243035465</v>
      </c>
      <c r="AN127">
        <f t="shared" si="48"/>
        <v>23146.348063237499</v>
      </c>
      <c r="AO127" s="29">
        <v>442753.97617623402</v>
      </c>
      <c r="AP127">
        <f t="shared" si="49"/>
        <v>3187828.6284688851</v>
      </c>
      <c r="AQ127">
        <f t="shared" si="50"/>
        <v>4554040.8978126924</v>
      </c>
      <c r="AR127">
        <f t="shared" si="51"/>
        <v>37.950340815105768</v>
      </c>
      <c r="AS127">
        <f t="shared" si="52"/>
        <v>176.66674320454879</v>
      </c>
      <c r="AT127">
        <f t="shared" si="53"/>
        <v>804547.57383688772</v>
      </c>
      <c r="AU127">
        <f t="shared" si="54"/>
        <v>22526.527519859021</v>
      </c>
      <c r="AV127" s="29">
        <v>385509.00278258498</v>
      </c>
      <c r="AW127">
        <f t="shared" si="55"/>
        <v>2775664.820034612</v>
      </c>
      <c r="AX127">
        <f t="shared" si="56"/>
        <v>3965235.4571923027</v>
      </c>
      <c r="AY127">
        <f t="shared" si="57"/>
        <v>33.043628809935861</v>
      </c>
      <c r="AZ127">
        <f t="shared" si="58"/>
        <v>180.09218366098818</v>
      </c>
      <c r="BA127">
        <f t="shared" si="59"/>
        <v>714107.91221573867</v>
      </c>
      <c r="BB127">
        <f t="shared" si="60"/>
        <v>19994.307434128466</v>
      </c>
      <c r="BC127" s="29">
        <v>433360.37270312599</v>
      </c>
      <c r="BD127">
        <f t="shared" si="61"/>
        <v>3120194.6834625071</v>
      </c>
      <c r="BE127">
        <f t="shared" si="62"/>
        <v>4457420.9763750099</v>
      </c>
      <c r="BF127">
        <f t="shared" si="63"/>
        <v>37.14517480312508</v>
      </c>
      <c r="BG127">
        <f t="shared" si="64"/>
        <v>177.22884023178059</v>
      </c>
      <c r="BH127">
        <f t="shared" si="65"/>
        <v>789983.550067754</v>
      </c>
      <c r="BI127">
        <f t="shared" si="66"/>
        <v>22118.749418347044</v>
      </c>
      <c r="BJ127" s="29">
        <v>400034.51809974102</v>
      </c>
      <c r="BK127">
        <f t="shared" si="67"/>
        <v>2880248.5303181354</v>
      </c>
      <c r="BL127">
        <f t="shared" si="68"/>
        <v>4114640.7575973365</v>
      </c>
      <c r="BM127">
        <f t="shared" si="69"/>
        <v>34.288672979977804</v>
      </c>
      <c r="BN127">
        <f t="shared" si="70"/>
        <v>179.22300188190229</v>
      </c>
      <c r="BO127">
        <f t="shared" si="71"/>
        <v>737438.26824221935</v>
      </c>
      <c r="BP127">
        <f t="shared" si="72"/>
        <v>20647.534072513899</v>
      </c>
    </row>
    <row r="128" spans="1:68" x14ac:dyDescent="0.25">
      <c r="A128">
        <v>8</v>
      </c>
      <c r="B128">
        <v>80</v>
      </c>
      <c r="C128">
        <f t="shared" si="80"/>
        <v>0.183</v>
      </c>
      <c r="D128">
        <v>0.17399999999999999</v>
      </c>
      <c r="E128">
        <f t="shared" si="22"/>
        <v>3.1841999999999997</v>
      </c>
      <c r="F128" s="29">
        <v>499996.8</v>
      </c>
      <c r="G128">
        <f t="shared" si="23"/>
        <v>3599976.96</v>
      </c>
      <c r="H128">
        <f t="shared" si="24"/>
        <v>5142824.2285714289</v>
      </c>
      <c r="I128">
        <f t="shared" si="25"/>
        <v>42.856868571428571</v>
      </c>
      <c r="J128">
        <f t="shared" si="26"/>
        <v>173.24143137466308</v>
      </c>
      <c r="K128">
        <f t="shared" si="27"/>
        <v>890950.2306660118</v>
      </c>
      <c r="L128">
        <f t="shared" si="28"/>
        <v>28369.637244867143</v>
      </c>
      <c r="M128" s="7">
        <v>477652.28153891698</v>
      </c>
      <c r="N128">
        <f t="shared" si="29"/>
        <v>3439096.4270802024</v>
      </c>
      <c r="O128">
        <f t="shared" si="30"/>
        <v>4912994.8958288599</v>
      </c>
      <c r="P128">
        <f t="shared" si="31"/>
        <v>40.941624131907162</v>
      </c>
      <c r="Q128">
        <f t="shared" si="32"/>
        <v>174.57848881357424</v>
      </c>
      <c r="R128">
        <f t="shared" si="33"/>
        <v>857703.2244626059</v>
      </c>
      <c r="S128">
        <f t="shared" si="34"/>
        <v>27310.986073338292</v>
      </c>
      <c r="T128" s="29">
        <v>466483.35131260101</v>
      </c>
      <c r="U128">
        <f t="shared" si="76"/>
        <v>3358680.1294507273</v>
      </c>
      <c r="V128">
        <f t="shared" si="77"/>
        <v>4798114.4706438957</v>
      </c>
      <c r="W128">
        <f t="shared" si="78"/>
        <v>39.9842872553658</v>
      </c>
      <c r="X128">
        <f t="shared" si="35"/>
        <v>175.24681833115972</v>
      </c>
      <c r="Y128">
        <f t="shared" si="36"/>
        <v>840854.29496903927</v>
      </c>
      <c r="Z128">
        <f t="shared" si="37"/>
        <v>26774.482460404146</v>
      </c>
      <c r="AA128" s="29">
        <v>466473.36299823399</v>
      </c>
      <c r="AB128">
        <f t="shared" si="79"/>
        <v>3358608.213587285</v>
      </c>
      <c r="AC128">
        <f t="shared" si="38"/>
        <v>4798011.7336961217</v>
      </c>
      <c r="AD128">
        <f t="shared" si="39"/>
        <v>39.983431114134348</v>
      </c>
      <c r="AE128">
        <f t="shared" si="40"/>
        <v>175.24741601466093</v>
      </c>
      <c r="AF128">
        <f t="shared" si="41"/>
        <v>840839.15833826875</v>
      </c>
      <c r="AG128">
        <f t="shared" si="42"/>
        <v>26774.00047980715</v>
      </c>
      <c r="AH128" s="29">
        <v>449711.64449735102</v>
      </c>
      <c r="AI128">
        <f t="shared" si="43"/>
        <v>3237923.8403809275</v>
      </c>
      <c r="AJ128">
        <f t="shared" si="44"/>
        <v>4625605.4862584677</v>
      </c>
      <c r="AK128">
        <f t="shared" si="45"/>
        <v>38.546712385487226</v>
      </c>
      <c r="AL128">
        <f t="shared" si="46"/>
        <v>176.25040833465985</v>
      </c>
      <c r="AM128">
        <f t="shared" si="47"/>
        <v>815264.85574809776</v>
      </c>
      <c r="AN128">
        <f t="shared" si="48"/>
        <v>25959.663536730925</v>
      </c>
      <c r="AO128" s="29">
        <v>407275.88239220303</v>
      </c>
      <c r="AP128">
        <f t="shared" si="49"/>
        <v>2932386.3532238617</v>
      </c>
      <c r="AQ128">
        <f t="shared" si="50"/>
        <v>4189123.3617483736</v>
      </c>
      <c r="AR128">
        <f t="shared" si="51"/>
        <v>34.909361347903115</v>
      </c>
      <c r="AS128">
        <f t="shared" si="52"/>
        <v>178.78969113448272</v>
      </c>
      <c r="AT128">
        <f t="shared" si="53"/>
        <v>748972.07197123766</v>
      </c>
      <c r="AU128">
        <f t="shared" si="54"/>
        <v>23848.768715708145</v>
      </c>
      <c r="AV128" s="29">
        <v>314585.08858333598</v>
      </c>
      <c r="AW128">
        <f t="shared" si="55"/>
        <v>2265012.6378000192</v>
      </c>
      <c r="AX128">
        <f t="shared" si="56"/>
        <v>3235732.3397143134</v>
      </c>
      <c r="AY128">
        <f t="shared" si="57"/>
        <v>26.964436164285942</v>
      </c>
      <c r="AZ128">
        <f t="shared" si="58"/>
        <v>184.33614833813999</v>
      </c>
      <c r="BA128">
        <f t="shared" si="59"/>
        <v>596462.43655609444</v>
      </c>
      <c r="BB128">
        <f t="shared" si="60"/>
        <v>18992.556904819157</v>
      </c>
      <c r="BC128" s="29">
        <v>405000.535743038</v>
      </c>
      <c r="BD128">
        <f t="shared" si="61"/>
        <v>2916003.8573498735</v>
      </c>
      <c r="BE128">
        <f t="shared" si="62"/>
        <v>4165719.7962141056</v>
      </c>
      <c r="BF128">
        <f t="shared" si="63"/>
        <v>34.714331635117546</v>
      </c>
      <c r="BG128">
        <f t="shared" si="64"/>
        <v>178.92584395284246</v>
      </c>
      <c r="BH128">
        <f t="shared" si="65"/>
        <v>745354.93020867172</v>
      </c>
      <c r="BI128">
        <f t="shared" si="66"/>
        <v>23733.59168770452</v>
      </c>
      <c r="BJ128" s="29">
        <v>357448.11118149001</v>
      </c>
      <c r="BK128">
        <f t="shared" si="67"/>
        <v>2573626.4005067283</v>
      </c>
      <c r="BL128">
        <f t="shared" si="68"/>
        <v>3676609.1435810402</v>
      </c>
      <c r="BM128">
        <f t="shared" si="69"/>
        <v>30.638409529842001</v>
      </c>
      <c r="BN128">
        <f t="shared" si="70"/>
        <v>181.7712990074688</v>
      </c>
      <c r="BO128">
        <f t="shared" si="71"/>
        <v>668302.01997146313</v>
      </c>
      <c r="BP128">
        <f t="shared" si="72"/>
        <v>21280.072919931325</v>
      </c>
    </row>
    <row r="129" spans="1:68" x14ac:dyDescent="0.25">
      <c r="A129">
        <v>8</v>
      </c>
      <c r="B129">
        <v>100</v>
      </c>
      <c r="C129">
        <f t="shared" si="80"/>
        <v>0.183</v>
      </c>
      <c r="D129">
        <v>0.17399999999999999</v>
      </c>
      <c r="E129">
        <f t="shared" si="22"/>
        <v>3.1841999999999997</v>
      </c>
      <c r="F129" s="29">
        <v>499996.8</v>
      </c>
      <c r="G129">
        <f t="shared" si="23"/>
        <v>3599976.96</v>
      </c>
      <c r="H129">
        <f t="shared" si="24"/>
        <v>5142824.2285714289</v>
      </c>
      <c r="I129">
        <f t="shared" si="25"/>
        <v>42.856868571428571</v>
      </c>
      <c r="J129">
        <f t="shared" si="26"/>
        <v>173.24143137466308</v>
      </c>
      <c r="K129">
        <f t="shared" si="27"/>
        <v>890950.2306660118</v>
      </c>
      <c r="L129">
        <f t="shared" si="28"/>
        <v>28369.637244867143</v>
      </c>
      <c r="M129" s="7">
        <v>483897.26121550699</v>
      </c>
      <c r="N129">
        <f t="shared" si="29"/>
        <v>3484060.2807516502</v>
      </c>
      <c r="O129">
        <f t="shared" si="30"/>
        <v>4977228.9725023573</v>
      </c>
      <c r="P129">
        <f t="shared" si="31"/>
        <v>41.476908104186315</v>
      </c>
      <c r="Q129">
        <f t="shared" si="32"/>
        <v>174.20480000273784</v>
      </c>
      <c r="R129">
        <f t="shared" si="33"/>
        <v>867057.17772260541</v>
      </c>
      <c r="S129">
        <f t="shared" si="34"/>
        <v>27608.834653043199</v>
      </c>
      <c r="T129" s="29">
        <v>475851.15052815899</v>
      </c>
      <c r="U129">
        <f t="shared" si="76"/>
        <v>3426128.2838027449</v>
      </c>
      <c r="V129">
        <f t="shared" si="77"/>
        <v>4894468.9768610643</v>
      </c>
      <c r="W129">
        <f t="shared" si="78"/>
        <v>40.787241473842201</v>
      </c>
      <c r="X129">
        <f t="shared" si="35"/>
        <v>174.68626538618562</v>
      </c>
      <c r="Y129">
        <f t="shared" si="36"/>
        <v>854996.50661640428</v>
      </c>
      <c r="Z129">
        <f t="shared" si="37"/>
        <v>27224.798763679541</v>
      </c>
      <c r="AA129" s="29">
        <v>475840.171320753</v>
      </c>
      <c r="AB129">
        <f t="shared" si="79"/>
        <v>3426049.2335094218</v>
      </c>
      <c r="AC129">
        <f t="shared" si="38"/>
        <v>4894356.0478706025</v>
      </c>
      <c r="AD129">
        <f t="shared" si="39"/>
        <v>40.786300398921689</v>
      </c>
      <c r="AE129">
        <f t="shared" si="40"/>
        <v>174.68692236301695</v>
      </c>
      <c r="AF129">
        <f t="shared" si="41"/>
        <v>854979.99495133432</v>
      </c>
      <c r="AG129">
        <f t="shared" si="42"/>
        <v>27224.272999240384</v>
      </c>
      <c r="AH129" s="29">
        <v>463761.85698113003</v>
      </c>
      <c r="AI129">
        <f t="shared" si="43"/>
        <v>3339085.3702641362</v>
      </c>
      <c r="AJ129">
        <f t="shared" si="44"/>
        <v>4770121.9575201944</v>
      </c>
      <c r="AK129">
        <f t="shared" si="45"/>
        <v>39.751016312668284</v>
      </c>
      <c r="AL129">
        <f t="shared" si="46"/>
        <v>175.40966785719382</v>
      </c>
      <c r="AM129">
        <f t="shared" si="47"/>
        <v>836725.50820692454</v>
      </c>
      <c r="AN129">
        <f t="shared" si="48"/>
        <v>26643.013632324888</v>
      </c>
      <c r="AO129" s="29">
        <v>375568.19297900097</v>
      </c>
      <c r="AP129">
        <f t="shared" si="49"/>
        <v>2704090.9894488072</v>
      </c>
      <c r="AQ129">
        <f t="shared" si="50"/>
        <v>3862987.1277840105</v>
      </c>
      <c r="AR129">
        <f t="shared" si="51"/>
        <v>32.191559398200091</v>
      </c>
      <c r="AS129">
        <f t="shared" si="52"/>
        <v>180.68702457106787</v>
      </c>
      <c r="AT129">
        <f t="shared" si="53"/>
        <v>697991.65007562842</v>
      </c>
      <c r="AU129">
        <f t="shared" si="54"/>
        <v>22225.450121708156</v>
      </c>
      <c r="AV129" s="29">
        <v>251233.70713891499</v>
      </c>
      <c r="AW129">
        <f t="shared" si="55"/>
        <v>1808882.691400188</v>
      </c>
      <c r="AX129">
        <f t="shared" si="56"/>
        <v>2584118.1305716969</v>
      </c>
      <c r="AY129">
        <f t="shared" si="57"/>
        <v>21.534317754764139</v>
      </c>
      <c r="AZ129">
        <f t="shared" si="58"/>
        <v>188.1269857183722</v>
      </c>
      <c r="BA129">
        <f t="shared" si="59"/>
        <v>486142.35464464827</v>
      </c>
      <c r="BB129">
        <f t="shared" si="60"/>
        <v>15479.744856594887</v>
      </c>
      <c r="BC129" s="29">
        <v>396822.27823042998</v>
      </c>
      <c r="BD129">
        <f t="shared" si="61"/>
        <v>2857120.4032590957</v>
      </c>
      <c r="BE129">
        <f t="shared" si="62"/>
        <v>4081600.5760844224</v>
      </c>
      <c r="BF129">
        <f t="shared" si="63"/>
        <v>34.013338134036857</v>
      </c>
      <c r="BG129">
        <f t="shared" si="64"/>
        <v>179.41521677435162</v>
      </c>
      <c r="BH129">
        <f t="shared" si="65"/>
        <v>732301.25214450515</v>
      </c>
      <c r="BI129">
        <f t="shared" si="66"/>
        <v>23317.936470785331</v>
      </c>
      <c r="BJ129" s="29">
        <v>345115.26114209398</v>
      </c>
      <c r="BK129">
        <f t="shared" si="67"/>
        <v>2484829.8802230768</v>
      </c>
      <c r="BL129">
        <f t="shared" si="68"/>
        <v>3549756.9717472526</v>
      </c>
      <c r="BM129">
        <f t="shared" si="69"/>
        <v>29.581308097893771</v>
      </c>
      <c r="BN129">
        <f t="shared" si="70"/>
        <v>182.50927547882887</v>
      </c>
      <c r="BO129">
        <f t="shared" si="71"/>
        <v>647863.57303951262</v>
      </c>
      <c r="BP129">
        <f t="shared" si="72"/>
        <v>20629.271892724159</v>
      </c>
    </row>
    <row r="130" spans="1:68" x14ac:dyDescent="0.25">
      <c r="A130">
        <v>8</v>
      </c>
      <c r="B130">
        <v>120</v>
      </c>
      <c r="C130">
        <f t="shared" si="80"/>
        <v>0.183</v>
      </c>
      <c r="D130">
        <v>0.153</v>
      </c>
      <c r="E130">
        <f t="shared" si="22"/>
        <v>2.7999000000000001</v>
      </c>
      <c r="F130" s="29">
        <v>499996.8</v>
      </c>
      <c r="G130">
        <f t="shared" si="23"/>
        <v>3599976.96</v>
      </c>
      <c r="H130">
        <f t="shared" si="24"/>
        <v>5142824.2285714289</v>
      </c>
      <c r="I130">
        <f t="shared" si="25"/>
        <v>42.856868571428571</v>
      </c>
      <c r="J130">
        <f t="shared" si="26"/>
        <v>173.24143137466308</v>
      </c>
      <c r="K130">
        <f t="shared" si="27"/>
        <v>890950.2306660118</v>
      </c>
      <c r="L130">
        <f t="shared" si="28"/>
        <v>24945.715508417663</v>
      </c>
      <c r="M130" s="7">
        <v>495846.87883611798</v>
      </c>
      <c r="N130">
        <f t="shared" si="29"/>
        <v>3570097.5276200497</v>
      </c>
      <c r="O130">
        <f t="shared" si="30"/>
        <v>5100139.3251714995</v>
      </c>
      <c r="P130">
        <f t="shared" si="31"/>
        <v>42.501161043095827</v>
      </c>
      <c r="Q130">
        <f t="shared" si="32"/>
        <v>173.48975549821611</v>
      </c>
      <c r="R130">
        <f t="shared" si="33"/>
        <v>884821.92453084036</v>
      </c>
      <c r="S130">
        <f t="shared" si="34"/>
        <v>24774.129064938999</v>
      </c>
      <c r="T130" s="29">
        <v>493772.27179341298</v>
      </c>
      <c r="U130">
        <f t="shared" si="76"/>
        <v>3555160.3569125733</v>
      </c>
      <c r="V130">
        <f t="shared" si="77"/>
        <v>5078800.5098751048</v>
      </c>
      <c r="W130">
        <f t="shared" si="78"/>
        <v>42.323337582292545</v>
      </c>
      <c r="X130">
        <f t="shared" si="35"/>
        <v>173.61389640481462</v>
      </c>
      <c r="Y130">
        <f t="shared" si="36"/>
        <v>881750.34558217612</v>
      </c>
      <c r="Z130">
        <f t="shared" si="37"/>
        <v>24688.127925955348</v>
      </c>
      <c r="AA130" s="29">
        <v>493771.21077565401</v>
      </c>
      <c r="AB130">
        <f t="shared" si="79"/>
        <v>3555152.7175847087</v>
      </c>
      <c r="AC130">
        <f t="shared" si="38"/>
        <v>5078789.5965495845</v>
      </c>
      <c r="AD130">
        <f t="shared" si="39"/>
        <v>42.323246637913201</v>
      </c>
      <c r="AE130">
        <f t="shared" si="40"/>
        <v>173.61395989428701</v>
      </c>
      <c r="AF130">
        <f t="shared" si="41"/>
        <v>881748.7733268817</v>
      </c>
      <c r="AG130">
        <f t="shared" si="42"/>
        <v>24688.08390437936</v>
      </c>
      <c r="AH130" s="29">
        <v>490658.41616348102</v>
      </c>
      <c r="AI130">
        <f t="shared" si="43"/>
        <v>3532740.5963770635</v>
      </c>
      <c r="AJ130">
        <f t="shared" si="44"/>
        <v>5046772.2805386623</v>
      </c>
      <c r="AK130">
        <f t="shared" si="45"/>
        <v>42.056435671155519</v>
      </c>
      <c r="AL130">
        <f t="shared" si="46"/>
        <v>173.80022415409897</v>
      </c>
      <c r="AM130">
        <f t="shared" si="47"/>
        <v>877130.15361231274</v>
      </c>
      <c r="AN130">
        <f t="shared" si="48"/>
        <v>24558.767170991145</v>
      </c>
      <c r="AO130" s="29">
        <v>355536.77537042898</v>
      </c>
      <c r="AP130">
        <f t="shared" si="49"/>
        <v>2559864.7826670888</v>
      </c>
      <c r="AQ130">
        <f t="shared" si="50"/>
        <v>3656949.6895244126</v>
      </c>
      <c r="AR130">
        <f t="shared" si="51"/>
        <v>30.474580746036771</v>
      </c>
      <c r="AS130">
        <f t="shared" si="52"/>
        <v>181.88567004521963</v>
      </c>
      <c r="AT130">
        <f t="shared" si="53"/>
        <v>665146.74460080569</v>
      </c>
      <c r="AU130">
        <f t="shared" si="54"/>
        <v>18623.443702077959</v>
      </c>
      <c r="AV130" s="29">
        <v>211251.48389529201</v>
      </c>
      <c r="AW130">
        <f t="shared" si="55"/>
        <v>1521010.6840461025</v>
      </c>
      <c r="AX130">
        <f t="shared" si="56"/>
        <v>2172872.4057801464</v>
      </c>
      <c r="AY130">
        <f t="shared" si="57"/>
        <v>18.107270048167887</v>
      </c>
      <c r="AZ130">
        <f t="shared" si="58"/>
        <v>190.51945298524129</v>
      </c>
      <c r="BA130">
        <f t="shared" si="59"/>
        <v>413974.4621559587</v>
      </c>
      <c r="BB130">
        <f t="shared" si="60"/>
        <v>11590.870965904687</v>
      </c>
      <c r="BC130" s="29">
        <v>411773.10242451902</v>
      </c>
      <c r="BD130">
        <f t="shared" si="61"/>
        <v>2964766.3374565369</v>
      </c>
      <c r="BE130">
        <f t="shared" si="62"/>
        <v>4235380.4820807669</v>
      </c>
      <c r="BF130">
        <f t="shared" si="63"/>
        <v>35.294837350673056</v>
      </c>
      <c r="BG130">
        <f t="shared" si="64"/>
        <v>178.52058524575654</v>
      </c>
      <c r="BH130">
        <f t="shared" si="65"/>
        <v>756102.60239951301</v>
      </c>
      <c r="BI130">
        <f t="shared" si="66"/>
        <v>21170.116764583963</v>
      </c>
      <c r="BJ130" s="29">
        <v>367507.41298111901</v>
      </c>
      <c r="BK130">
        <f t="shared" si="67"/>
        <v>2646053.3734640568</v>
      </c>
      <c r="BL130">
        <f t="shared" si="68"/>
        <v>3780076.2478057956</v>
      </c>
      <c r="BM130">
        <f t="shared" si="69"/>
        <v>31.500635398381629</v>
      </c>
      <c r="BN130">
        <f t="shared" si="70"/>
        <v>181.16936774075245</v>
      </c>
      <c r="BO130">
        <f t="shared" si="71"/>
        <v>684834.02382681193</v>
      </c>
      <c r="BP130">
        <f t="shared" si="72"/>
        <v>19174.667833126907</v>
      </c>
    </row>
    <row r="131" spans="1:68" x14ac:dyDescent="0.25">
      <c r="A131">
        <v>8</v>
      </c>
      <c r="B131">
        <v>140</v>
      </c>
      <c r="C131">
        <f t="shared" si="80"/>
        <v>0.183</v>
      </c>
      <c r="D131">
        <v>0.113</v>
      </c>
      <c r="E131">
        <f t="shared" si="22"/>
        <v>2.0678999999999998</v>
      </c>
      <c r="F131" s="29">
        <v>499996.8</v>
      </c>
      <c r="G131">
        <f t="shared" si="23"/>
        <v>3599976.96</v>
      </c>
      <c r="H131">
        <f t="shared" si="24"/>
        <v>5142824.2285714289</v>
      </c>
      <c r="I131">
        <f t="shared" si="25"/>
        <v>42.856868571428571</v>
      </c>
      <c r="J131">
        <f t="shared" si="26"/>
        <v>173.24143137466308</v>
      </c>
      <c r="K131">
        <f t="shared" si="27"/>
        <v>890950.2306660118</v>
      </c>
      <c r="L131">
        <f t="shared" si="28"/>
        <v>18423.959819942458</v>
      </c>
      <c r="M131" s="7">
        <v>504217.39845083398</v>
      </c>
      <c r="N131">
        <f t="shared" si="29"/>
        <v>3630365.2688460047</v>
      </c>
      <c r="O131">
        <f t="shared" si="30"/>
        <v>5186236.0983514348</v>
      </c>
      <c r="P131">
        <f t="shared" si="31"/>
        <v>43.218634152928622</v>
      </c>
      <c r="Q131">
        <f t="shared" si="32"/>
        <v>172.98887804418192</v>
      </c>
      <c r="R131">
        <f t="shared" si="33"/>
        <v>897161.16392605018</v>
      </c>
      <c r="S131">
        <f t="shared" si="34"/>
        <v>18552.395708826793</v>
      </c>
      <c r="T131" s="29">
        <v>506326.92752636998</v>
      </c>
      <c r="U131">
        <f t="shared" si="76"/>
        <v>3645553.8781898641</v>
      </c>
      <c r="V131">
        <f t="shared" si="77"/>
        <v>5207934.1116998056</v>
      </c>
      <c r="W131">
        <f t="shared" si="78"/>
        <v>43.399450930831712</v>
      </c>
      <c r="X131">
        <f t="shared" si="35"/>
        <v>172.86264746338162</v>
      </c>
      <c r="Y131">
        <f t="shared" si="36"/>
        <v>900257.27836328303</v>
      </c>
      <c r="Z131">
        <f t="shared" si="37"/>
        <v>18616.420259274328</v>
      </c>
      <c r="AA131" s="29">
        <v>506329.236363962</v>
      </c>
      <c r="AB131">
        <f t="shared" si="79"/>
        <v>3645570.5018205266</v>
      </c>
      <c r="AC131">
        <f t="shared" si="38"/>
        <v>5207957.85974361</v>
      </c>
      <c r="AD131">
        <f t="shared" si="39"/>
        <v>43.39964883119675</v>
      </c>
      <c r="AE131">
        <f t="shared" si="40"/>
        <v>172.86250930652301</v>
      </c>
      <c r="AF131">
        <f t="shared" si="41"/>
        <v>900260.6639979094</v>
      </c>
      <c r="AG131">
        <f t="shared" si="42"/>
        <v>18616.490270812767</v>
      </c>
      <c r="AH131" s="29">
        <v>509495.45454594301</v>
      </c>
      <c r="AI131">
        <f t="shared" si="43"/>
        <v>3668367.2727307896</v>
      </c>
      <c r="AJ131">
        <f t="shared" si="44"/>
        <v>5240524.6753297001</v>
      </c>
      <c r="AK131">
        <f t="shared" si="45"/>
        <v>43.671038961080832</v>
      </c>
      <c r="AL131">
        <f t="shared" si="46"/>
        <v>172.673048272453</v>
      </c>
      <c r="AM131">
        <f t="shared" si="47"/>
        <v>904897.37023618643</v>
      </c>
      <c r="AN131">
        <f t="shared" si="48"/>
        <v>18712.372719114097</v>
      </c>
      <c r="AO131" s="29">
        <v>352615.57366703899</v>
      </c>
      <c r="AP131">
        <f t="shared" si="49"/>
        <v>2538832.130402681</v>
      </c>
      <c r="AQ131">
        <f t="shared" si="50"/>
        <v>3626903.0434324015</v>
      </c>
      <c r="AR131">
        <f t="shared" si="51"/>
        <v>30.224192028603344</v>
      </c>
      <c r="AS131">
        <f t="shared" si="52"/>
        <v>182.06046971588069</v>
      </c>
      <c r="AT131">
        <f t="shared" si="53"/>
        <v>660315.67170126026</v>
      </c>
      <c r="AU131">
        <f t="shared" si="54"/>
        <v>13654.66777511036</v>
      </c>
      <c r="AV131" s="29">
        <v>205480.862474839</v>
      </c>
      <c r="AW131">
        <f t="shared" si="55"/>
        <v>1479462.2098188407</v>
      </c>
      <c r="AX131">
        <f t="shared" si="56"/>
        <v>2113517.4425983438</v>
      </c>
      <c r="AY131">
        <f t="shared" si="57"/>
        <v>17.612645354986199</v>
      </c>
      <c r="AZ131">
        <f t="shared" si="58"/>
        <v>190.8647570163304</v>
      </c>
      <c r="BA131">
        <f t="shared" si="59"/>
        <v>403395.99313130893</v>
      </c>
      <c r="BB131">
        <f t="shared" si="60"/>
        <v>8341.8257419623369</v>
      </c>
      <c r="BC131" s="29">
        <v>440649.427242345</v>
      </c>
      <c r="BD131">
        <f t="shared" si="61"/>
        <v>3172675.8761448842</v>
      </c>
      <c r="BE131">
        <f t="shared" si="62"/>
        <v>4532394.1087784059</v>
      </c>
      <c r="BF131">
        <f t="shared" si="63"/>
        <v>37.769950906486713</v>
      </c>
      <c r="BG131">
        <f t="shared" si="64"/>
        <v>176.79267578226398</v>
      </c>
      <c r="BH131">
        <f t="shared" si="65"/>
        <v>801294.08219070395</v>
      </c>
      <c r="BI131">
        <f t="shared" si="66"/>
        <v>16569.960325621567</v>
      </c>
      <c r="BJ131" s="29">
        <v>410847.900870012</v>
      </c>
      <c r="BK131">
        <f t="shared" si="67"/>
        <v>2958104.8862640867</v>
      </c>
      <c r="BL131">
        <f t="shared" si="68"/>
        <v>4225864.1232344098</v>
      </c>
      <c r="BM131">
        <f t="shared" si="69"/>
        <v>35.215534360286746</v>
      </c>
      <c r="BN131">
        <f t="shared" si="70"/>
        <v>178.57594771074321</v>
      </c>
      <c r="BO131">
        <f t="shared" si="71"/>
        <v>754637.69070341357</v>
      </c>
      <c r="BP131">
        <f t="shared" si="72"/>
        <v>15605.152806055889</v>
      </c>
    </row>
    <row r="132" spans="1:68" x14ac:dyDescent="0.25">
      <c r="A132">
        <v>8</v>
      </c>
      <c r="B132">
        <v>160</v>
      </c>
      <c r="C132">
        <f t="shared" si="80"/>
        <v>0.183</v>
      </c>
      <c r="D132">
        <v>0.06</v>
      </c>
      <c r="E132">
        <f t="shared" si="22"/>
        <v>1.0980000000000001</v>
      </c>
      <c r="F132" s="29">
        <v>499996.8</v>
      </c>
      <c r="G132">
        <f t="shared" si="23"/>
        <v>3599976.96</v>
      </c>
      <c r="H132">
        <f t="shared" si="24"/>
        <v>5142824.2285714289</v>
      </c>
      <c r="I132">
        <f t="shared" si="25"/>
        <v>42.856868571428571</v>
      </c>
      <c r="J132">
        <f t="shared" si="26"/>
        <v>173.24143137466308</v>
      </c>
      <c r="K132">
        <f t="shared" si="27"/>
        <v>890950.2306660118</v>
      </c>
      <c r="L132">
        <f t="shared" si="28"/>
        <v>9782.633532712809</v>
      </c>
      <c r="M132" s="7">
        <v>501428.174546158</v>
      </c>
      <c r="N132">
        <f t="shared" si="29"/>
        <v>3610282.8567323377</v>
      </c>
      <c r="O132">
        <f t="shared" si="30"/>
        <v>5157546.9381890539</v>
      </c>
      <c r="P132">
        <f t="shared" si="31"/>
        <v>42.979557818242121</v>
      </c>
      <c r="Q132">
        <f t="shared" si="32"/>
        <v>173.15578039103852</v>
      </c>
      <c r="R132">
        <f t="shared" si="33"/>
        <v>893059.06498553697</v>
      </c>
      <c r="S132">
        <f t="shared" si="34"/>
        <v>9805.7885335411956</v>
      </c>
      <c r="T132" s="29">
        <v>502150.753186293</v>
      </c>
      <c r="U132">
        <f t="shared" si="76"/>
        <v>3615485.4229413099</v>
      </c>
      <c r="V132">
        <f t="shared" si="77"/>
        <v>5164979.1756304428</v>
      </c>
      <c r="W132">
        <f t="shared" si="78"/>
        <v>43.041493130253691</v>
      </c>
      <c r="X132">
        <f t="shared" si="35"/>
        <v>173.11254253170969</v>
      </c>
      <c r="Y132">
        <f t="shared" si="36"/>
        <v>894122.67721671984</v>
      </c>
      <c r="Z132">
        <f t="shared" si="37"/>
        <v>9817.4669958395843</v>
      </c>
      <c r="AA132" s="29">
        <v>502130.06017049198</v>
      </c>
      <c r="AB132">
        <f t="shared" si="79"/>
        <v>3615336.4332275423</v>
      </c>
      <c r="AC132">
        <f t="shared" si="38"/>
        <v>5164766.3331822027</v>
      </c>
      <c r="AD132">
        <f t="shared" si="39"/>
        <v>43.039719443185021</v>
      </c>
      <c r="AE132">
        <f t="shared" si="40"/>
        <v>173.11378076607838</v>
      </c>
      <c r="AF132">
        <f t="shared" si="41"/>
        <v>894092.22671052639</v>
      </c>
      <c r="AG132">
        <f t="shared" si="42"/>
        <v>9817.1326492815806</v>
      </c>
      <c r="AH132" s="29">
        <v>503196.69025573903</v>
      </c>
      <c r="AI132">
        <f t="shared" si="43"/>
        <v>3623016.1698413212</v>
      </c>
      <c r="AJ132">
        <f t="shared" si="44"/>
        <v>5175737.3854876012</v>
      </c>
      <c r="AK132">
        <f t="shared" si="45"/>
        <v>43.131144879063342</v>
      </c>
      <c r="AL132">
        <f t="shared" si="46"/>
        <v>173.04995546178597</v>
      </c>
      <c r="AM132">
        <f t="shared" si="47"/>
        <v>895661.12404052995</v>
      </c>
      <c r="AN132">
        <f t="shared" si="48"/>
        <v>9834.3591419650184</v>
      </c>
      <c r="AO132" s="29">
        <v>368313.10211924702</v>
      </c>
      <c r="AP132">
        <f t="shared" si="49"/>
        <v>2651854.3352585784</v>
      </c>
      <c r="AQ132">
        <f t="shared" si="50"/>
        <v>3788363.3360836832</v>
      </c>
      <c r="AR132">
        <f t="shared" si="51"/>
        <v>31.569694467364027</v>
      </c>
      <c r="AS132">
        <f t="shared" si="52"/>
        <v>181.12115669259492</v>
      </c>
      <c r="AT132">
        <f t="shared" si="53"/>
        <v>686152.74940329441</v>
      </c>
      <c r="AU132">
        <f t="shared" si="54"/>
        <v>7533.9571884481729</v>
      </c>
      <c r="AV132" s="29">
        <v>236919.90176477699</v>
      </c>
      <c r="AW132">
        <f t="shared" si="55"/>
        <v>1705823.2927063943</v>
      </c>
      <c r="AX132">
        <f t="shared" si="56"/>
        <v>2436890.4181519919</v>
      </c>
      <c r="AY132">
        <f t="shared" si="57"/>
        <v>20.307420151266598</v>
      </c>
      <c r="AZ132">
        <f t="shared" si="58"/>
        <v>188.98349913968181</v>
      </c>
      <c r="BA132">
        <f t="shared" si="59"/>
        <v>460532.07824232581</v>
      </c>
      <c r="BB132">
        <f t="shared" si="60"/>
        <v>5056.6422191007377</v>
      </c>
      <c r="BC132" s="29">
        <v>469625.91890357202</v>
      </c>
      <c r="BD132">
        <f t="shared" si="61"/>
        <v>3381306.6161057185</v>
      </c>
      <c r="BE132">
        <f t="shared" si="62"/>
        <v>4830438.0230081696</v>
      </c>
      <c r="BF132">
        <f t="shared" si="63"/>
        <v>40.253650191734749</v>
      </c>
      <c r="BG132">
        <f t="shared" si="64"/>
        <v>175.05877250765687</v>
      </c>
      <c r="BH132">
        <f t="shared" si="65"/>
        <v>845610.55098212301</v>
      </c>
      <c r="BI132">
        <f t="shared" si="66"/>
        <v>9284.8038497837115</v>
      </c>
      <c r="BJ132" s="29">
        <v>454369.10385360703</v>
      </c>
      <c r="BK132">
        <f t="shared" si="67"/>
        <v>3271457.5477459705</v>
      </c>
      <c r="BL132">
        <f t="shared" si="68"/>
        <v>4673510.7824942432</v>
      </c>
      <c r="BM132">
        <f t="shared" si="69"/>
        <v>38.945923187452031</v>
      </c>
      <c r="BN132">
        <f t="shared" si="70"/>
        <v>175.97171400121272</v>
      </c>
      <c r="BO132">
        <f t="shared" si="71"/>
        <v>822405.70279866084</v>
      </c>
      <c r="BP132">
        <f t="shared" si="72"/>
        <v>9030.0146167292969</v>
      </c>
    </row>
    <row r="133" spans="1:68" x14ac:dyDescent="0.25">
      <c r="A133">
        <v>8</v>
      </c>
      <c r="B133">
        <v>180</v>
      </c>
      <c r="C133">
        <f t="shared" si="80"/>
        <v>0.183</v>
      </c>
      <c r="D133">
        <v>0</v>
      </c>
      <c r="E133">
        <f t="shared" si="22"/>
        <v>0</v>
      </c>
      <c r="F133" s="29">
        <v>499996.8</v>
      </c>
      <c r="G133">
        <f t="shared" si="23"/>
        <v>3599976.96</v>
      </c>
      <c r="H133">
        <f t="shared" si="24"/>
        <v>5142824.2285714289</v>
      </c>
      <c r="I133">
        <f t="shared" si="25"/>
        <v>42.856868571428571</v>
      </c>
      <c r="J133">
        <f t="shared" si="26"/>
        <v>173.24143137466308</v>
      </c>
      <c r="K133">
        <f t="shared" si="27"/>
        <v>890950.2306660118</v>
      </c>
      <c r="L133">
        <f t="shared" si="28"/>
        <v>0</v>
      </c>
      <c r="M133" s="7">
        <v>487820.78137425001</v>
      </c>
      <c r="N133">
        <f t="shared" si="29"/>
        <v>3512309.6258946001</v>
      </c>
      <c r="O133">
        <f t="shared" si="30"/>
        <v>5017585.1798494291</v>
      </c>
      <c r="P133">
        <f t="shared" si="31"/>
        <v>41.813209832078577</v>
      </c>
      <c r="Q133">
        <f t="shared" si="32"/>
        <v>173.97002332477533</v>
      </c>
      <c r="R133">
        <f t="shared" si="33"/>
        <v>872909.41077245213</v>
      </c>
      <c r="S133">
        <f t="shared" si="34"/>
        <v>0</v>
      </c>
      <c r="T133" s="29">
        <v>481750.34647049202</v>
      </c>
      <c r="U133">
        <f t="shared" si="76"/>
        <v>3468602.4945875425</v>
      </c>
      <c r="V133">
        <f t="shared" si="77"/>
        <v>4955146.420839346</v>
      </c>
      <c r="W133">
        <f t="shared" si="78"/>
        <v>41.292886840327881</v>
      </c>
      <c r="X133">
        <f t="shared" si="35"/>
        <v>174.33326767750694</v>
      </c>
      <c r="Y133">
        <f t="shared" si="36"/>
        <v>863846.86736542615</v>
      </c>
      <c r="Z133">
        <f t="shared" si="37"/>
        <v>0</v>
      </c>
      <c r="AA133" s="29">
        <v>481697.60025600001</v>
      </c>
      <c r="AB133">
        <f t="shared" si="79"/>
        <v>3468222.7218432003</v>
      </c>
      <c r="AC133">
        <f t="shared" si="38"/>
        <v>4954603.8883474292</v>
      </c>
      <c r="AD133">
        <f t="shared" si="39"/>
        <v>41.288365736228577</v>
      </c>
      <c r="AE133">
        <f t="shared" si="40"/>
        <v>174.33642391999138</v>
      </c>
      <c r="AF133">
        <f t="shared" si="41"/>
        <v>863767.92383457511</v>
      </c>
      <c r="AG133">
        <f t="shared" si="42"/>
        <v>0</v>
      </c>
      <c r="AH133" s="29">
        <v>472548.00038400001</v>
      </c>
      <c r="AI133">
        <f t="shared" si="43"/>
        <v>3402345.6027648002</v>
      </c>
      <c r="AJ133">
        <f t="shared" si="44"/>
        <v>4860493.7182354284</v>
      </c>
      <c r="AK133">
        <f t="shared" si="45"/>
        <v>40.504114318628567</v>
      </c>
      <c r="AL133">
        <f t="shared" si="46"/>
        <v>174.88392019265552</v>
      </c>
      <c r="AM133">
        <f t="shared" si="47"/>
        <v>850022.19551678817</v>
      </c>
      <c r="AN133">
        <f t="shared" si="48"/>
        <v>0</v>
      </c>
      <c r="AO133" s="29">
        <v>399788.29083871801</v>
      </c>
      <c r="AP133">
        <f t="shared" si="49"/>
        <v>2878475.6940387697</v>
      </c>
      <c r="AQ133">
        <f t="shared" si="50"/>
        <v>4112108.1343410993</v>
      </c>
      <c r="AR133">
        <f t="shared" si="51"/>
        <v>34.267567786175825</v>
      </c>
      <c r="AS133">
        <f t="shared" si="52"/>
        <v>179.23773569644328</v>
      </c>
      <c r="AT133">
        <f t="shared" si="53"/>
        <v>737044.95093822444</v>
      </c>
      <c r="AU133">
        <f t="shared" si="54"/>
        <v>0</v>
      </c>
      <c r="AV133" s="29">
        <v>299883.49651294702</v>
      </c>
      <c r="AW133">
        <f t="shared" si="55"/>
        <v>2159161.1748932186</v>
      </c>
      <c r="AX133">
        <f t="shared" si="56"/>
        <v>3084515.9641331695</v>
      </c>
      <c r="AY133">
        <f t="shared" si="57"/>
        <v>25.704299701109747</v>
      </c>
      <c r="AZ133">
        <f t="shared" si="58"/>
        <v>185.21586624639508</v>
      </c>
      <c r="BA133">
        <f t="shared" si="59"/>
        <v>571301.29624775948</v>
      </c>
      <c r="BB133">
        <f t="shared" si="60"/>
        <v>0</v>
      </c>
      <c r="BC133" s="29">
        <v>489874.05585084</v>
      </c>
      <c r="BD133">
        <f t="shared" si="61"/>
        <v>3527093.202126048</v>
      </c>
      <c r="BE133">
        <f t="shared" si="62"/>
        <v>5038704.5744657833</v>
      </c>
      <c r="BF133">
        <f t="shared" si="63"/>
        <v>41.989204787214859</v>
      </c>
      <c r="BG133">
        <f t="shared" si="64"/>
        <v>173.84715892213302</v>
      </c>
      <c r="BH133">
        <f t="shared" si="65"/>
        <v>875964.47491883172</v>
      </c>
      <c r="BI133">
        <f t="shared" si="66"/>
        <v>0</v>
      </c>
      <c r="BJ133" s="29">
        <v>484783.24286688602</v>
      </c>
      <c r="BK133">
        <f t="shared" si="67"/>
        <v>3490439.3486415795</v>
      </c>
      <c r="BL133">
        <f t="shared" si="68"/>
        <v>4986341.9266308285</v>
      </c>
      <c r="BM133">
        <f t="shared" si="69"/>
        <v>41.552849388590239</v>
      </c>
      <c r="BN133">
        <f t="shared" si="70"/>
        <v>174.15178438909737</v>
      </c>
      <c r="BO133">
        <f t="shared" si="71"/>
        <v>868380.34409692849</v>
      </c>
      <c r="BP133">
        <f t="shared" si="72"/>
        <v>0</v>
      </c>
    </row>
    <row r="134" spans="1:68" x14ac:dyDescent="0.25">
      <c r="A134">
        <v>10</v>
      </c>
      <c r="B134">
        <v>0</v>
      </c>
      <c r="C134">
        <f>$AB$7</f>
        <v>0.13100000000000001</v>
      </c>
      <c r="D134" cm="1">
        <f t="array" ref="D134:D143">$AD$2:$AD$11</f>
        <v>0</v>
      </c>
      <c r="E134">
        <f t="shared" si="22"/>
        <v>0</v>
      </c>
      <c r="F134" s="29">
        <v>499996.8</v>
      </c>
      <c r="G134">
        <f t="shared" si="23"/>
        <v>3599976.96</v>
      </c>
      <c r="H134">
        <f t="shared" si="24"/>
        <v>5142824.2285714289</v>
      </c>
      <c r="I134">
        <f t="shared" si="25"/>
        <v>42.856868571428571</v>
      </c>
      <c r="J134">
        <f t="shared" si="26"/>
        <v>173.24143137466308</v>
      </c>
      <c r="K134">
        <f t="shared" si="27"/>
        <v>890950.2306660118</v>
      </c>
      <c r="L134">
        <f t="shared" si="28"/>
        <v>0</v>
      </c>
      <c r="M134" s="7">
        <v>500410.624193358</v>
      </c>
      <c r="N134">
        <f t="shared" si="29"/>
        <v>3602956.4941921779</v>
      </c>
      <c r="O134">
        <f t="shared" si="30"/>
        <v>5147080.7059888253</v>
      </c>
      <c r="P134">
        <f t="shared" si="31"/>
        <v>42.892339216573546</v>
      </c>
      <c r="Q134">
        <f t="shared" si="32"/>
        <v>173.21666884880716</v>
      </c>
      <c r="R134">
        <f t="shared" si="33"/>
        <v>891560.1741873509</v>
      </c>
      <c r="S134">
        <f t="shared" si="34"/>
        <v>0</v>
      </c>
      <c r="T134" s="29">
        <v>500617.426336287</v>
      </c>
      <c r="U134">
        <f t="shared" si="76"/>
        <v>3604445.4696212662</v>
      </c>
      <c r="V134">
        <f t="shared" si="77"/>
        <v>5149207.8137446661</v>
      </c>
      <c r="W134">
        <f t="shared" si="78"/>
        <v>42.910065114538881</v>
      </c>
      <c r="X134">
        <f t="shared" si="35"/>
        <v>173.20429416532193</v>
      </c>
      <c r="Y134">
        <f t="shared" si="36"/>
        <v>891864.90489020536</v>
      </c>
      <c r="Z134">
        <f t="shared" si="37"/>
        <v>0</v>
      </c>
      <c r="AA134" s="29">
        <v>500617.75622400001</v>
      </c>
      <c r="AB134">
        <f t="shared" si="79"/>
        <v>3604447.8448128002</v>
      </c>
      <c r="AC134">
        <f t="shared" si="38"/>
        <v>5149211.2068754286</v>
      </c>
      <c r="AD134">
        <f t="shared" si="39"/>
        <v>42.910093390628575</v>
      </c>
      <c r="AE134">
        <f t="shared" si="40"/>
        <v>173.20427442541023</v>
      </c>
      <c r="AF134">
        <f t="shared" si="41"/>
        <v>891865.39095004951</v>
      </c>
      <c r="AG134">
        <f t="shared" si="42"/>
        <v>0</v>
      </c>
      <c r="AH134" s="29">
        <v>500928.23433599999</v>
      </c>
      <c r="AI134">
        <f t="shared" si="43"/>
        <v>3606683.2872191998</v>
      </c>
      <c r="AJ134">
        <f t="shared" si="44"/>
        <v>5152404.6960274279</v>
      </c>
      <c r="AK134">
        <f t="shared" si="45"/>
        <v>42.936705800228566</v>
      </c>
      <c r="AL134">
        <f t="shared" si="46"/>
        <v>173.18569595078384</v>
      </c>
      <c r="AM134">
        <f t="shared" si="47"/>
        <v>892322.793101597</v>
      </c>
      <c r="AN134">
        <f t="shared" si="48"/>
        <v>0</v>
      </c>
      <c r="AO134" s="29">
        <v>503401.42964639299</v>
      </c>
      <c r="AP134">
        <f t="shared" si="49"/>
        <v>3624490.2934540296</v>
      </c>
      <c r="AQ134">
        <f t="shared" si="50"/>
        <v>5177843.2763628997</v>
      </c>
      <c r="AR134">
        <f t="shared" si="51"/>
        <v>43.148693969690832</v>
      </c>
      <c r="AS134">
        <f t="shared" si="52"/>
        <v>173.03770420983847</v>
      </c>
      <c r="AT134">
        <f t="shared" si="53"/>
        <v>895962.11330018437</v>
      </c>
      <c r="AU134">
        <f t="shared" si="54"/>
        <v>0</v>
      </c>
      <c r="AV134" s="29">
        <v>506804.16165714501</v>
      </c>
      <c r="AW134">
        <f t="shared" si="55"/>
        <v>3648989.9639314441</v>
      </c>
      <c r="AX134">
        <f t="shared" si="56"/>
        <v>5212842.805616349</v>
      </c>
      <c r="AY134">
        <f t="shared" si="57"/>
        <v>43.440356713469576</v>
      </c>
      <c r="AZ134">
        <f t="shared" si="58"/>
        <v>172.83409059625708</v>
      </c>
      <c r="BA134">
        <f t="shared" si="59"/>
        <v>900956.94572994299</v>
      </c>
      <c r="BB134">
        <f t="shared" si="60"/>
        <v>0</v>
      </c>
      <c r="BC134" s="29">
        <v>500340.843577697</v>
      </c>
      <c r="BD134">
        <f t="shared" si="61"/>
        <v>3602454.0737594184</v>
      </c>
      <c r="BE134">
        <f t="shared" si="62"/>
        <v>5146362.9625134552</v>
      </c>
      <c r="BF134">
        <f t="shared" si="63"/>
        <v>42.886358020945458</v>
      </c>
      <c r="BG134">
        <f t="shared" si="64"/>
        <v>173.22084440047203</v>
      </c>
      <c r="BH134">
        <f t="shared" si="65"/>
        <v>891457.33795789548</v>
      </c>
      <c r="BI134">
        <f t="shared" si="66"/>
        <v>0</v>
      </c>
      <c r="BJ134" s="29">
        <v>500513.04951490398</v>
      </c>
      <c r="BK134">
        <f t="shared" si="67"/>
        <v>3603693.9565073089</v>
      </c>
      <c r="BL134">
        <f t="shared" si="68"/>
        <v>5148134.2235818701</v>
      </c>
      <c r="BM134">
        <f t="shared" si="69"/>
        <v>42.901118529848915</v>
      </c>
      <c r="BN134">
        <f t="shared" si="70"/>
        <v>173.21053989425641</v>
      </c>
      <c r="BO134">
        <f t="shared" si="71"/>
        <v>891711.10831471428</v>
      </c>
      <c r="BP134">
        <f t="shared" si="72"/>
        <v>0</v>
      </c>
    </row>
    <row r="135" spans="1:68" x14ac:dyDescent="0.25">
      <c r="A135">
        <v>10</v>
      </c>
      <c r="B135">
        <v>20</v>
      </c>
      <c r="C135">
        <f t="shared" ref="C135:C143" si="81">$AB$7</f>
        <v>0.13100000000000001</v>
      </c>
      <c r="D135">
        <v>0.06</v>
      </c>
      <c r="E135">
        <f t="shared" si="22"/>
        <v>0.78600000000000003</v>
      </c>
      <c r="F135" s="29">
        <v>499996.8</v>
      </c>
      <c r="G135">
        <f t="shared" si="23"/>
        <v>3599976.96</v>
      </c>
      <c r="H135">
        <f t="shared" si="24"/>
        <v>5142824.2285714289</v>
      </c>
      <c r="I135">
        <f t="shared" si="25"/>
        <v>42.856868571428571</v>
      </c>
      <c r="J135">
        <f t="shared" si="26"/>
        <v>173.24143137466308</v>
      </c>
      <c r="K135">
        <f t="shared" si="27"/>
        <v>890950.2306660118</v>
      </c>
      <c r="L135">
        <f t="shared" si="28"/>
        <v>7002.8688130348537</v>
      </c>
      <c r="M135" s="7">
        <v>500596.16560715798</v>
      </c>
      <c r="N135">
        <f t="shared" si="29"/>
        <v>3604292.3923715376</v>
      </c>
      <c r="O135">
        <f t="shared" si="30"/>
        <v>5148989.1319593396</v>
      </c>
      <c r="P135">
        <f t="shared" si="31"/>
        <v>42.908242766327831</v>
      </c>
      <c r="Q135">
        <f t="shared" si="32"/>
        <v>173.20556637067679</v>
      </c>
      <c r="R135">
        <f t="shared" si="33"/>
        <v>891833.5788374769</v>
      </c>
      <c r="S135">
        <f t="shared" si="34"/>
        <v>7009.8119296625691</v>
      </c>
      <c r="T135" s="29">
        <v>500895.85227476899</v>
      </c>
      <c r="U135">
        <f t="shared" si="76"/>
        <v>3606450.1363783367</v>
      </c>
      <c r="V135">
        <f t="shared" si="77"/>
        <v>5152071.6233976232</v>
      </c>
      <c r="W135">
        <f t="shared" si="78"/>
        <v>42.933930194980192</v>
      </c>
      <c r="X135">
        <f t="shared" si="35"/>
        <v>173.18763363746666</v>
      </c>
      <c r="Y135">
        <f t="shared" si="36"/>
        <v>892275.09278697567</v>
      </c>
      <c r="Z135">
        <f t="shared" si="37"/>
        <v>7013.2822293056297</v>
      </c>
      <c r="AA135" s="29">
        <v>500895.84068319702</v>
      </c>
      <c r="AB135">
        <f t="shared" si="79"/>
        <v>3606450.0529190185</v>
      </c>
      <c r="AC135">
        <f t="shared" si="38"/>
        <v>5152071.5041700257</v>
      </c>
      <c r="AD135">
        <f t="shared" si="39"/>
        <v>42.933929201416881</v>
      </c>
      <c r="AE135">
        <f t="shared" si="40"/>
        <v>173.18763433108631</v>
      </c>
      <c r="AF135">
        <f t="shared" si="41"/>
        <v>892275.07571180817</v>
      </c>
      <c r="AG135">
        <f t="shared" si="42"/>
        <v>7013.2820950948126</v>
      </c>
      <c r="AH135" s="29">
        <v>501345.36102479597</v>
      </c>
      <c r="AI135">
        <f t="shared" si="43"/>
        <v>3609686.5993785309</v>
      </c>
      <c r="AJ135">
        <f t="shared" si="44"/>
        <v>5156695.1419693297</v>
      </c>
      <c r="AK135">
        <f t="shared" si="45"/>
        <v>42.972459516411078</v>
      </c>
      <c r="AL135">
        <f t="shared" si="46"/>
        <v>173.16073580929793</v>
      </c>
      <c r="AM135">
        <f t="shared" si="47"/>
        <v>892937.12512764125</v>
      </c>
      <c r="AN135">
        <f t="shared" si="48"/>
        <v>7018.4858035032612</v>
      </c>
      <c r="AO135" s="29">
        <v>491609.402180965</v>
      </c>
      <c r="AP135">
        <f t="shared" si="49"/>
        <v>3539587.6957029481</v>
      </c>
      <c r="AQ135">
        <f t="shared" si="50"/>
        <v>5056553.8510042112</v>
      </c>
      <c r="AR135">
        <f t="shared" si="51"/>
        <v>42.137948758368431</v>
      </c>
      <c r="AS135">
        <f t="shared" si="52"/>
        <v>173.74331879132771</v>
      </c>
      <c r="AT135">
        <f t="shared" si="53"/>
        <v>878542.44772054057</v>
      </c>
      <c r="AU135">
        <f t="shared" si="54"/>
        <v>6905.3436390834495</v>
      </c>
      <c r="AV135" s="29">
        <v>483213.76834747702</v>
      </c>
      <c r="AW135">
        <f t="shared" si="55"/>
        <v>3479139.1321018348</v>
      </c>
      <c r="AX135">
        <f t="shared" si="56"/>
        <v>4970198.7601454789</v>
      </c>
      <c r="AY135">
        <f t="shared" si="57"/>
        <v>41.418323001212322</v>
      </c>
      <c r="AZ135">
        <f t="shared" si="58"/>
        <v>174.2456990368895</v>
      </c>
      <c r="BA135">
        <f t="shared" si="59"/>
        <v>866035.75731383055</v>
      </c>
      <c r="BB135">
        <f t="shared" si="60"/>
        <v>6807.0410524867084</v>
      </c>
      <c r="BC135" s="29">
        <v>492661.95978159399</v>
      </c>
      <c r="BD135">
        <f t="shared" si="61"/>
        <v>3547166.1104274769</v>
      </c>
      <c r="BE135">
        <f t="shared" si="62"/>
        <v>5067380.1577535383</v>
      </c>
      <c r="BF135">
        <f t="shared" si="63"/>
        <v>42.228167981279491</v>
      </c>
      <c r="BG135">
        <f t="shared" si="64"/>
        <v>173.68033556023886</v>
      </c>
      <c r="BH135">
        <f t="shared" si="65"/>
        <v>880104.28620993067</v>
      </c>
      <c r="BI135">
        <f t="shared" si="66"/>
        <v>6917.6196896100555</v>
      </c>
      <c r="BJ135" s="29">
        <v>488997.82947865798</v>
      </c>
      <c r="BK135">
        <f t="shared" si="67"/>
        <v>3520784.3722463376</v>
      </c>
      <c r="BL135">
        <f t="shared" si="68"/>
        <v>5029691.9603519104</v>
      </c>
      <c r="BM135">
        <f t="shared" si="69"/>
        <v>41.914099669599253</v>
      </c>
      <c r="BN135">
        <f t="shared" si="70"/>
        <v>173.89959079669487</v>
      </c>
      <c r="BO135">
        <f t="shared" si="71"/>
        <v>874661.37373862322</v>
      </c>
      <c r="BP135">
        <f t="shared" si="72"/>
        <v>6874.8383975855795</v>
      </c>
    </row>
    <row r="136" spans="1:68" x14ac:dyDescent="0.25">
      <c r="A136">
        <v>10</v>
      </c>
      <c r="B136">
        <v>40</v>
      </c>
      <c r="C136">
        <f t="shared" si="81"/>
        <v>0.13100000000000001</v>
      </c>
      <c r="D136">
        <v>0.113</v>
      </c>
      <c r="E136">
        <f t="shared" si="22"/>
        <v>1.4802999999999999</v>
      </c>
      <c r="F136" s="29">
        <v>499996.8</v>
      </c>
      <c r="G136">
        <f t="shared" si="23"/>
        <v>3599976.96</v>
      </c>
      <c r="H136">
        <f t="shared" si="24"/>
        <v>5142824.2285714289</v>
      </c>
      <c r="I136">
        <f t="shared" si="25"/>
        <v>42.856868571428571</v>
      </c>
      <c r="J136">
        <f t="shared" si="26"/>
        <v>173.24143137466308</v>
      </c>
      <c r="K136">
        <f t="shared" si="27"/>
        <v>890950.2306660118</v>
      </c>
      <c r="L136">
        <f t="shared" si="28"/>
        <v>13188.736264548972</v>
      </c>
      <c r="M136" s="7">
        <v>488647.42341005901</v>
      </c>
      <c r="N136">
        <f t="shared" si="29"/>
        <v>3518261.448552425</v>
      </c>
      <c r="O136">
        <f t="shared" si="30"/>
        <v>5026087.7836463209</v>
      </c>
      <c r="P136">
        <f t="shared" si="31"/>
        <v>41.884064863719338</v>
      </c>
      <c r="Q136">
        <f t="shared" si="32"/>
        <v>173.92055849136574</v>
      </c>
      <c r="R136">
        <f t="shared" si="33"/>
        <v>874139.99435839884</v>
      </c>
      <c r="S136">
        <f t="shared" si="34"/>
        <v>12939.894336487378</v>
      </c>
      <c r="T136" s="29">
        <v>482972.30933872802</v>
      </c>
      <c r="U136">
        <f t="shared" si="76"/>
        <v>3477400.6272388417</v>
      </c>
      <c r="V136">
        <f t="shared" si="77"/>
        <v>4967715.1817697734</v>
      </c>
      <c r="W136">
        <f t="shared" si="78"/>
        <v>41.397626514748112</v>
      </c>
      <c r="X136">
        <f t="shared" si="35"/>
        <v>174.26014752743998</v>
      </c>
      <c r="Y136">
        <f t="shared" si="36"/>
        <v>865674.78044950403</v>
      </c>
      <c r="Z136">
        <f t="shared" si="37"/>
        <v>12814.583774994009</v>
      </c>
      <c r="AA136" s="29">
        <v>482973.586596662</v>
      </c>
      <c r="AB136">
        <f t="shared" si="79"/>
        <v>3477409.8234959664</v>
      </c>
      <c r="AC136">
        <f t="shared" si="38"/>
        <v>4967728.319279952</v>
      </c>
      <c r="AD136">
        <f t="shared" si="39"/>
        <v>41.397735993999603</v>
      </c>
      <c r="AE136">
        <f t="shared" si="40"/>
        <v>174.26007109852858</v>
      </c>
      <c r="AF136">
        <f t="shared" si="41"/>
        <v>865676.69011589838</v>
      </c>
      <c r="AG136">
        <f t="shared" si="42"/>
        <v>12814.612043785644</v>
      </c>
      <c r="AH136" s="29">
        <v>474461.97989499301</v>
      </c>
      <c r="AI136">
        <f t="shared" si="43"/>
        <v>3416126.2552439496</v>
      </c>
      <c r="AJ136">
        <f t="shared" si="44"/>
        <v>4880180.364634214</v>
      </c>
      <c r="AK136">
        <f t="shared" si="45"/>
        <v>40.668169705285116</v>
      </c>
      <c r="AL136">
        <f t="shared" si="46"/>
        <v>174.76939096046132</v>
      </c>
      <c r="AM136">
        <f t="shared" si="47"/>
        <v>852906.15010432363</v>
      </c>
      <c r="AN136">
        <f t="shared" si="48"/>
        <v>12625.569739994304</v>
      </c>
      <c r="AO136" s="29">
        <v>464737.48253122601</v>
      </c>
      <c r="AP136">
        <f t="shared" si="49"/>
        <v>3346109.8742248272</v>
      </c>
      <c r="AQ136">
        <f t="shared" si="50"/>
        <v>4780156.9631783245</v>
      </c>
      <c r="AR136">
        <f t="shared" si="51"/>
        <v>39.834641359819372</v>
      </c>
      <c r="AS136">
        <f t="shared" si="52"/>
        <v>175.35128810729591</v>
      </c>
      <c r="AT136">
        <f t="shared" si="53"/>
        <v>838206.68084837915</v>
      </c>
      <c r="AU136">
        <f t="shared" si="54"/>
        <v>12407.973496598557</v>
      </c>
      <c r="AV136" s="29">
        <v>429452.62254091701</v>
      </c>
      <c r="AW136">
        <f t="shared" si="55"/>
        <v>3092058.8822946027</v>
      </c>
      <c r="AX136">
        <f t="shared" si="56"/>
        <v>4417226.9747065753</v>
      </c>
      <c r="AY136">
        <f t="shared" si="57"/>
        <v>36.810224789221458</v>
      </c>
      <c r="AZ136">
        <f t="shared" si="58"/>
        <v>177.46267326035482</v>
      </c>
      <c r="BA136">
        <f t="shared" si="59"/>
        <v>783892.90732917853</v>
      </c>
      <c r="BB136">
        <f t="shared" si="60"/>
        <v>11603.966707193829</v>
      </c>
      <c r="BC136" s="29">
        <v>459264.74380111898</v>
      </c>
      <c r="BD136">
        <f t="shared" si="61"/>
        <v>3306706.1553680566</v>
      </c>
      <c r="BE136">
        <f t="shared" si="62"/>
        <v>4723865.9362400817</v>
      </c>
      <c r="BF136">
        <f t="shared" si="63"/>
        <v>39.365549468667346</v>
      </c>
      <c r="BG136">
        <f t="shared" si="64"/>
        <v>175.67876735206241</v>
      </c>
      <c r="BH136">
        <f t="shared" si="65"/>
        <v>829882.94481505384</v>
      </c>
      <c r="BI136">
        <f t="shared" si="66"/>
        <v>12284.757232097241</v>
      </c>
      <c r="BJ136" s="29">
        <v>438917.73380140797</v>
      </c>
      <c r="BK136">
        <f t="shared" si="67"/>
        <v>3160207.6833701376</v>
      </c>
      <c r="BL136">
        <f t="shared" si="68"/>
        <v>4514582.4048144827</v>
      </c>
      <c r="BM136">
        <f t="shared" si="69"/>
        <v>37.621520040120693</v>
      </c>
      <c r="BN136">
        <f t="shared" si="70"/>
        <v>176.89629733048179</v>
      </c>
      <c r="BO136">
        <f t="shared" si="71"/>
        <v>798612.91140502412</v>
      </c>
      <c r="BP136">
        <f t="shared" si="72"/>
        <v>11821.866927528572</v>
      </c>
    </row>
    <row r="137" spans="1:68" x14ac:dyDescent="0.25">
      <c r="A137">
        <v>10</v>
      </c>
      <c r="B137">
        <v>60</v>
      </c>
      <c r="C137">
        <f t="shared" si="81"/>
        <v>0.13100000000000001</v>
      </c>
      <c r="D137">
        <v>0.153</v>
      </c>
      <c r="E137">
        <f t="shared" si="22"/>
        <v>2.0043000000000002</v>
      </c>
      <c r="F137" s="29">
        <v>499996.8</v>
      </c>
      <c r="G137">
        <f t="shared" si="23"/>
        <v>3599976.96</v>
      </c>
      <c r="H137">
        <f t="shared" si="24"/>
        <v>5142824.2285714289</v>
      </c>
      <c r="I137">
        <f t="shared" si="25"/>
        <v>42.856868571428571</v>
      </c>
      <c r="J137">
        <f t="shared" si="26"/>
        <v>173.24143137466308</v>
      </c>
      <c r="K137">
        <f t="shared" si="27"/>
        <v>890950.2306660118</v>
      </c>
      <c r="L137">
        <f t="shared" si="28"/>
        <v>17857.315473238876</v>
      </c>
      <c r="M137" s="7">
        <v>471419.31589300698</v>
      </c>
      <c r="N137">
        <f t="shared" si="29"/>
        <v>3394219.0744296503</v>
      </c>
      <c r="O137">
        <f t="shared" si="30"/>
        <v>4848884.3920423575</v>
      </c>
      <c r="P137">
        <f t="shared" si="31"/>
        <v>40.407369933686311</v>
      </c>
      <c r="Q137">
        <f t="shared" si="32"/>
        <v>174.95145872553974</v>
      </c>
      <c r="R137">
        <f t="shared" si="33"/>
        <v>848319.39757931232</v>
      </c>
      <c r="S137">
        <f t="shared" si="34"/>
        <v>17002.865685682158</v>
      </c>
      <c r="T137" s="29">
        <v>457131.05681870203</v>
      </c>
      <c r="U137">
        <f t="shared" si="76"/>
        <v>3291343.6090946547</v>
      </c>
      <c r="V137">
        <f t="shared" si="77"/>
        <v>4701919.4415637925</v>
      </c>
      <c r="W137">
        <f t="shared" si="78"/>
        <v>39.182662013031603</v>
      </c>
      <c r="X137">
        <f t="shared" si="35"/>
        <v>175.80644350033643</v>
      </c>
      <c r="Y137">
        <f t="shared" si="36"/>
        <v>826627.73464641836</v>
      </c>
      <c r="Z137">
        <f t="shared" si="37"/>
        <v>16568.099685518166</v>
      </c>
      <c r="AA137" s="29">
        <v>457129.60790445999</v>
      </c>
      <c r="AB137">
        <f t="shared" si="79"/>
        <v>3291333.1769121122</v>
      </c>
      <c r="AC137">
        <f t="shared" si="38"/>
        <v>4701904.538445875</v>
      </c>
      <c r="AD137">
        <f t="shared" si="39"/>
        <v>39.182537820382294</v>
      </c>
      <c r="AE137">
        <f t="shared" si="40"/>
        <v>175.80653020086518</v>
      </c>
      <c r="AF137">
        <f t="shared" si="41"/>
        <v>826625.52223986981</v>
      </c>
      <c r="AG137">
        <f t="shared" si="42"/>
        <v>16568.055342253712</v>
      </c>
      <c r="AH137" s="29">
        <v>435696.01185668999</v>
      </c>
      <c r="AI137">
        <f t="shared" si="43"/>
        <v>3137011.2853681678</v>
      </c>
      <c r="AJ137">
        <f t="shared" si="44"/>
        <v>4481444.6933830967</v>
      </c>
      <c r="AK137">
        <f t="shared" si="45"/>
        <v>37.345372444859137</v>
      </c>
      <c r="AL137">
        <f t="shared" si="46"/>
        <v>177.08907961396625</v>
      </c>
      <c r="AM137">
        <f t="shared" si="47"/>
        <v>793614.91609210579</v>
      </c>
      <c r="AN137">
        <f t="shared" si="48"/>
        <v>15906.423763234077</v>
      </c>
      <c r="AO137" s="29">
        <v>423192.04990984499</v>
      </c>
      <c r="AP137">
        <f t="shared" si="49"/>
        <v>3046982.7593508842</v>
      </c>
      <c r="AQ137">
        <f t="shared" si="50"/>
        <v>4352832.5133584058</v>
      </c>
      <c r="AR137">
        <f t="shared" si="51"/>
        <v>36.273604277986713</v>
      </c>
      <c r="AS137">
        <f t="shared" si="52"/>
        <v>177.83729512668853</v>
      </c>
      <c r="AT137">
        <f t="shared" si="53"/>
        <v>774095.96031516418</v>
      </c>
      <c r="AU137">
        <f t="shared" si="54"/>
        <v>15515.205332596837</v>
      </c>
      <c r="AV137" s="29">
        <v>346357.95308971201</v>
      </c>
      <c r="AW137">
        <f t="shared" si="55"/>
        <v>2493777.2622459265</v>
      </c>
      <c r="AX137">
        <f t="shared" si="56"/>
        <v>3562538.9460656093</v>
      </c>
      <c r="AY137">
        <f t="shared" si="57"/>
        <v>29.687824550546747</v>
      </c>
      <c r="AZ137">
        <f t="shared" si="58"/>
        <v>182.43491493641076</v>
      </c>
      <c r="BA137">
        <f t="shared" si="59"/>
        <v>649931.48958312988</v>
      </c>
      <c r="BB137">
        <f t="shared" si="60"/>
        <v>13026.576845714673</v>
      </c>
      <c r="BC137" s="29">
        <v>406521.722920959</v>
      </c>
      <c r="BD137">
        <f t="shared" si="61"/>
        <v>2926956.4050309048</v>
      </c>
      <c r="BE137">
        <f t="shared" si="62"/>
        <v>4181366.2929012929</v>
      </c>
      <c r="BF137">
        <f t="shared" si="63"/>
        <v>34.844719107510777</v>
      </c>
      <c r="BG137">
        <f t="shared" si="64"/>
        <v>178.83481873626607</v>
      </c>
      <c r="BH137">
        <f t="shared" si="65"/>
        <v>747773.88306093554</v>
      </c>
      <c r="BI137">
        <f t="shared" si="66"/>
        <v>14987.631938190332</v>
      </c>
      <c r="BJ137" s="29">
        <v>359801.55656676198</v>
      </c>
      <c r="BK137">
        <f t="shared" si="67"/>
        <v>2590571.2072806861</v>
      </c>
      <c r="BL137">
        <f t="shared" si="68"/>
        <v>3700816.0104009802</v>
      </c>
      <c r="BM137">
        <f t="shared" si="69"/>
        <v>30.840133420008168</v>
      </c>
      <c r="BN137">
        <f t="shared" si="70"/>
        <v>181.630472895466</v>
      </c>
      <c r="BO137">
        <f t="shared" si="71"/>
        <v>672180.96206824179</v>
      </c>
      <c r="BP137">
        <f t="shared" si="72"/>
        <v>13472.523022733771</v>
      </c>
    </row>
    <row r="138" spans="1:68" x14ac:dyDescent="0.25">
      <c r="A138">
        <v>10</v>
      </c>
      <c r="B138">
        <v>80</v>
      </c>
      <c r="C138">
        <f t="shared" si="81"/>
        <v>0.13100000000000001</v>
      </c>
      <c r="D138">
        <v>0.17399999999999999</v>
      </c>
      <c r="E138">
        <f t="shared" si="22"/>
        <v>2.2793999999999999</v>
      </c>
      <c r="F138" s="29">
        <v>499996.8</v>
      </c>
      <c r="G138">
        <f t="shared" si="23"/>
        <v>3599976.96</v>
      </c>
      <c r="H138">
        <f t="shared" si="24"/>
        <v>5142824.2285714289</v>
      </c>
      <c r="I138">
        <f t="shared" si="25"/>
        <v>42.856868571428571</v>
      </c>
      <c r="J138">
        <f t="shared" si="26"/>
        <v>173.24143137466308</v>
      </c>
      <c r="K138">
        <f t="shared" si="27"/>
        <v>890950.2306660118</v>
      </c>
      <c r="L138">
        <f t="shared" si="28"/>
        <v>20308.319557801071</v>
      </c>
      <c r="M138" s="7">
        <v>462127.58238455502</v>
      </c>
      <c r="N138">
        <f t="shared" si="29"/>
        <v>3327318.593168796</v>
      </c>
      <c r="O138">
        <f t="shared" si="30"/>
        <v>4753312.2759554237</v>
      </c>
      <c r="P138">
        <f t="shared" si="31"/>
        <v>39.610935632961862</v>
      </c>
      <c r="Q138">
        <f t="shared" si="32"/>
        <v>175.50746002981907</v>
      </c>
      <c r="R138">
        <f t="shared" si="33"/>
        <v>834241.76428149489</v>
      </c>
      <c r="S138">
        <f t="shared" si="34"/>
        <v>19015.706775032395</v>
      </c>
      <c r="T138" s="29">
        <v>443197.49278892798</v>
      </c>
      <c r="U138">
        <f t="shared" si="76"/>
        <v>3191021.9480802817</v>
      </c>
      <c r="V138">
        <f t="shared" si="77"/>
        <v>4558602.782971831</v>
      </c>
      <c r="W138">
        <f t="shared" si="78"/>
        <v>37.988356524765258</v>
      </c>
      <c r="X138">
        <f t="shared" si="35"/>
        <v>176.64020393554122</v>
      </c>
      <c r="Y138">
        <f t="shared" si="36"/>
        <v>805232.52524526999</v>
      </c>
      <c r="Z138">
        <f t="shared" si="37"/>
        <v>18354.470180440683</v>
      </c>
      <c r="AA138" s="29">
        <v>443183.93409329501</v>
      </c>
      <c r="AB138">
        <f t="shared" si="79"/>
        <v>3190924.3254717244</v>
      </c>
      <c r="AC138">
        <f t="shared" si="38"/>
        <v>4558463.3221024629</v>
      </c>
      <c r="AD138">
        <f t="shared" si="39"/>
        <v>37.987194350853855</v>
      </c>
      <c r="AE138">
        <f t="shared" si="40"/>
        <v>176.64101526449826</v>
      </c>
      <c r="AF138">
        <f t="shared" si="41"/>
        <v>805211.58926215663</v>
      </c>
      <c r="AG138">
        <f t="shared" si="42"/>
        <v>18353.992965641595</v>
      </c>
      <c r="AH138" s="29">
        <v>414777.50113994302</v>
      </c>
      <c r="AI138">
        <f t="shared" si="43"/>
        <v>2986398.0082075899</v>
      </c>
      <c r="AJ138">
        <f t="shared" si="44"/>
        <v>4266282.8688679859</v>
      </c>
      <c r="AK138">
        <f t="shared" si="45"/>
        <v>35.55235724056655</v>
      </c>
      <c r="AL138">
        <f t="shared" si="46"/>
        <v>178.3408072094158</v>
      </c>
      <c r="AM138">
        <f t="shared" si="47"/>
        <v>760852.33061761875</v>
      </c>
      <c r="AN138">
        <f t="shared" si="48"/>
        <v>17342.868024097999</v>
      </c>
      <c r="AO138" s="29">
        <v>375452.89358247101</v>
      </c>
      <c r="AP138">
        <f t="shared" si="49"/>
        <v>2703260.8337937915</v>
      </c>
      <c r="AQ138">
        <f t="shared" si="50"/>
        <v>3861801.1911339881</v>
      </c>
      <c r="AR138">
        <f t="shared" si="51"/>
        <v>32.181676592783234</v>
      </c>
      <c r="AS138">
        <f t="shared" si="52"/>
        <v>180.69392388805699</v>
      </c>
      <c r="AT138">
        <f t="shared" si="53"/>
        <v>697804.01050157263</v>
      </c>
      <c r="AU138">
        <f t="shared" si="54"/>
        <v>15905.744615372845</v>
      </c>
      <c r="AV138" s="29">
        <v>250922.266874561</v>
      </c>
      <c r="AW138">
        <f t="shared" si="55"/>
        <v>1806640.3214968392</v>
      </c>
      <c r="AX138">
        <f t="shared" si="56"/>
        <v>2580914.7449954846</v>
      </c>
      <c r="AY138">
        <f t="shared" si="57"/>
        <v>21.507622874962372</v>
      </c>
      <c r="AZ138">
        <f t="shared" si="58"/>
        <v>188.1456217665357</v>
      </c>
      <c r="BA138">
        <f t="shared" si="59"/>
        <v>485587.80942359538</v>
      </c>
      <c r="BB138">
        <f t="shared" si="60"/>
        <v>11068.488528001431</v>
      </c>
      <c r="BC138" s="29">
        <v>360179.82571210299</v>
      </c>
      <c r="BD138">
        <f t="shared" si="61"/>
        <v>2593294.7451271415</v>
      </c>
      <c r="BE138">
        <f t="shared" si="62"/>
        <v>3704706.7787530595</v>
      </c>
      <c r="BF138">
        <f t="shared" si="63"/>
        <v>30.872556489608829</v>
      </c>
      <c r="BG138">
        <f t="shared" si="64"/>
        <v>181.60783792234855</v>
      </c>
      <c r="BH138">
        <f t="shared" si="65"/>
        <v>672803.78822561156</v>
      </c>
      <c r="BI138">
        <f t="shared" si="66"/>
        <v>15335.889548814588</v>
      </c>
      <c r="BJ138" s="29">
        <v>290223.38037724601</v>
      </c>
      <c r="BK138">
        <f t="shared" si="67"/>
        <v>2089608.3387161712</v>
      </c>
      <c r="BL138">
        <f t="shared" si="68"/>
        <v>2985154.7695945301</v>
      </c>
      <c r="BM138">
        <f t="shared" si="69"/>
        <v>24.876289746621083</v>
      </c>
      <c r="BN138">
        <f t="shared" si="70"/>
        <v>185.79391093160416</v>
      </c>
      <c r="BO138">
        <f t="shared" si="71"/>
        <v>554623.57937909954</v>
      </c>
      <c r="BP138">
        <f t="shared" si="72"/>
        <v>12642.089868367193</v>
      </c>
    </row>
    <row r="139" spans="1:68" x14ac:dyDescent="0.25">
      <c r="A139">
        <v>10</v>
      </c>
      <c r="B139">
        <v>100</v>
      </c>
      <c r="C139">
        <f t="shared" si="81"/>
        <v>0.13100000000000001</v>
      </c>
      <c r="D139">
        <v>0.17399999999999999</v>
      </c>
      <c r="E139">
        <f t="shared" si="22"/>
        <v>2.2793999999999999</v>
      </c>
      <c r="F139" s="29">
        <v>499996.8</v>
      </c>
      <c r="G139">
        <f t="shared" si="23"/>
        <v>3599976.96</v>
      </c>
      <c r="H139">
        <f t="shared" si="24"/>
        <v>5142824.2285714289</v>
      </c>
      <c r="I139">
        <f t="shared" si="25"/>
        <v>42.856868571428571</v>
      </c>
      <c r="J139">
        <f t="shared" si="26"/>
        <v>173.24143137466308</v>
      </c>
      <c r="K139">
        <f t="shared" si="27"/>
        <v>890950.2306660118</v>
      </c>
      <c r="L139">
        <f t="shared" si="28"/>
        <v>20308.319557801071</v>
      </c>
      <c r="M139" s="7">
        <v>469350.35197574901</v>
      </c>
      <c r="N139">
        <f t="shared" si="29"/>
        <v>3379322.5342253931</v>
      </c>
      <c r="O139">
        <f t="shared" si="30"/>
        <v>4827603.62032199</v>
      </c>
      <c r="P139">
        <f t="shared" si="31"/>
        <v>40.230030169349916</v>
      </c>
      <c r="Q139">
        <f t="shared" si="32"/>
        <v>175.07526195724628</v>
      </c>
      <c r="R139">
        <f t="shared" si="33"/>
        <v>845193.96845362289</v>
      </c>
      <c r="S139">
        <f t="shared" si="34"/>
        <v>19265.351316931879</v>
      </c>
      <c r="T139" s="29">
        <v>454034.541849904</v>
      </c>
      <c r="U139">
        <f t="shared" si="76"/>
        <v>3269048.701319309</v>
      </c>
      <c r="V139">
        <f t="shared" si="77"/>
        <v>4670069.5733132986</v>
      </c>
      <c r="W139">
        <f t="shared" si="78"/>
        <v>38.917246444277488</v>
      </c>
      <c r="X139">
        <f t="shared" si="35"/>
        <v>175.99173361437232</v>
      </c>
      <c r="Y139">
        <f t="shared" si="36"/>
        <v>821893.64030713949</v>
      </c>
      <c r="Z139">
        <f t="shared" si="37"/>
        <v>18734.243637160936</v>
      </c>
      <c r="AA139" s="29">
        <v>454012.29454789899</v>
      </c>
      <c r="AB139">
        <f t="shared" si="79"/>
        <v>3268888.5207448727</v>
      </c>
      <c r="AC139">
        <f t="shared" si="38"/>
        <v>4669840.7439212464</v>
      </c>
      <c r="AD139">
        <f t="shared" si="39"/>
        <v>38.915339532677052</v>
      </c>
      <c r="AE139">
        <f t="shared" si="40"/>
        <v>175.99306485454622</v>
      </c>
      <c r="AF139">
        <f t="shared" si="41"/>
        <v>821859.58490533428</v>
      </c>
      <c r="AG139">
        <f t="shared" si="42"/>
        <v>18733.467378332189</v>
      </c>
      <c r="AH139" s="29">
        <v>431020.04182184901</v>
      </c>
      <c r="AI139">
        <f t="shared" si="43"/>
        <v>3103344.3011173131</v>
      </c>
      <c r="AJ139">
        <f t="shared" si="44"/>
        <v>4433349.0015961612</v>
      </c>
      <c r="AK139">
        <f t="shared" si="45"/>
        <v>36.944575013301346</v>
      </c>
      <c r="AL139">
        <f t="shared" si="46"/>
        <v>177.36888159448773</v>
      </c>
      <c r="AM139">
        <f t="shared" si="47"/>
        <v>786338.15413114987</v>
      </c>
      <c r="AN139">
        <f t="shared" si="48"/>
        <v>17923.791885265429</v>
      </c>
      <c r="AO139" s="29">
        <v>332921.14259449602</v>
      </c>
      <c r="AP139">
        <f t="shared" si="49"/>
        <v>2397032.2266803714</v>
      </c>
      <c r="AQ139">
        <f t="shared" si="50"/>
        <v>3424331.7524005305</v>
      </c>
      <c r="AR139">
        <f t="shared" si="51"/>
        <v>28.536097936671087</v>
      </c>
      <c r="AS139">
        <f t="shared" si="52"/>
        <v>183.23895049704095</v>
      </c>
      <c r="AT139">
        <f t="shared" si="53"/>
        <v>627470.95646356628</v>
      </c>
      <c r="AU139">
        <f t="shared" si="54"/>
        <v>14302.572981630528</v>
      </c>
      <c r="AV139" s="29">
        <v>165957.53317630701</v>
      </c>
      <c r="AW139">
        <f t="shared" si="55"/>
        <v>1194894.2388694105</v>
      </c>
      <c r="AX139">
        <f t="shared" si="56"/>
        <v>1706991.7698134435</v>
      </c>
      <c r="AY139">
        <f t="shared" si="57"/>
        <v>14.224931415112028</v>
      </c>
      <c r="AZ139">
        <f t="shared" si="58"/>
        <v>193.2297648611482</v>
      </c>
      <c r="BA139">
        <f t="shared" si="59"/>
        <v>329841.61830096692</v>
      </c>
      <c r="BB139">
        <f t="shared" si="60"/>
        <v>7518.4098475522396</v>
      </c>
      <c r="BC139" s="29">
        <v>345009.007373131</v>
      </c>
      <c r="BD139">
        <f t="shared" si="61"/>
        <v>2484064.8530865433</v>
      </c>
      <c r="BE139">
        <f t="shared" si="62"/>
        <v>3548664.075837919</v>
      </c>
      <c r="BF139">
        <f t="shared" si="63"/>
        <v>29.57220063198266</v>
      </c>
      <c r="BG139">
        <f t="shared" si="64"/>
        <v>182.51563352106871</v>
      </c>
      <c r="BH139">
        <f t="shared" si="65"/>
        <v>647686.67195501551</v>
      </c>
      <c r="BI139">
        <f t="shared" si="66"/>
        <v>14763.370000542622</v>
      </c>
      <c r="BJ139" s="29">
        <v>267349.26777322002</v>
      </c>
      <c r="BK139">
        <f t="shared" si="67"/>
        <v>1924914.7279671843</v>
      </c>
      <c r="BL139">
        <f t="shared" si="68"/>
        <v>2749878.1828102632</v>
      </c>
      <c r="BM139">
        <f t="shared" si="69"/>
        <v>22.915651523418859</v>
      </c>
      <c r="BN139">
        <f t="shared" si="70"/>
        <v>187.16265837044344</v>
      </c>
      <c r="BO139">
        <f t="shared" si="71"/>
        <v>514674.51088965306</v>
      </c>
      <c r="BP139">
        <f t="shared" si="72"/>
        <v>11731.490801218752</v>
      </c>
    </row>
    <row r="140" spans="1:68" x14ac:dyDescent="0.25">
      <c r="A140">
        <v>10</v>
      </c>
      <c r="B140">
        <v>120</v>
      </c>
      <c r="C140">
        <f t="shared" si="81"/>
        <v>0.13100000000000001</v>
      </c>
      <c r="D140">
        <v>0.153</v>
      </c>
      <c r="E140">
        <f t="shared" si="22"/>
        <v>2.0043000000000002</v>
      </c>
      <c r="F140" s="29">
        <v>499996.8</v>
      </c>
      <c r="G140">
        <f t="shared" si="23"/>
        <v>3599976.96</v>
      </c>
      <c r="H140">
        <f t="shared" si="24"/>
        <v>5142824.2285714289</v>
      </c>
      <c r="I140">
        <f t="shared" si="25"/>
        <v>42.856868571428571</v>
      </c>
      <c r="J140">
        <f t="shared" si="26"/>
        <v>173.24143137466308</v>
      </c>
      <c r="K140">
        <f t="shared" si="27"/>
        <v>890950.2306660118</v>
      </c>
      <c r="L140">
        <f t="shared" si="28"/>
        <v>17857.315473238876</v>
      </c>
      <c r="M140" s="7">
        <v>488477.960260775</v>
      </c>
      <c r="N140">
        <f t="shared" si="29"/>
        <v>3517041.3138775802</v>
      </c>
      <c r="O140">
        <f t="shared" si="30"/>
        <v>5024344.7341108285</v>
      </c>
      <c r="P140">
        <f t="shared" si="31"/>
        <v>41.869539450923575</v>
      </c>
      <c r="Q140">
        <f t="shared" si="32"/>
        <v>173.93069887388356</v>
      </c>
      <c r="R140">
        <f t="shared" si="33"/>
        <v>873887.79098721303</v>
      </c>
      <c r="S140">
        <f t="shared" si="34"/>
        <v>17515.332994756711</v>
      </c>
      <c r="T140" s="29">
        <v>482721.28951692401</v>
      </c>
      <c r="U140">
        <f t="shared" si="76"/>
        <v>3475593.2845218531</v>
      </c>
      <c r="V140">
        <f t="shared" si="77"/>
        <v>4965133.2636026479</v>
      </c>
      <c r="W140">
        <f t="shared" si="78"/>
        <v>41.376110530022068</v>
      </c>
      <c r="X140">
        <f t="shared" si="35"/>
        <v>174.27516812055063</v>
      </c>
      <c r="Y140">
        <f t="shared" si="36"/>
        <v>865299.43425528973</v>
      </c>
      <c r="Z140">
        <f t="shared" si="37"/>
        <v>17343.196560778775</v>
      </c>
      <c r="AA140" s="29">
        <v>482713.038583874</v>
      </c>
      <c r="AB140">
        <f t="shared" si="79"/>
        <v>3475533.8778038928</v>
      </c>
      <c r="AC140">
        <f t="shared" si="38"/>
        <v>4965048.3968627043</v>
      </c>
      <c r="AD140">
        <f t="shared" si="39"/>
        <v>41.375403307189202</v>
      </c>
      <c r="AE140">
        <f t="shared" si="40"/>
        <v>174.27566184215092</v>
      </c>
      <c r="AF140">
        <f t="shared" si="41"/>
        <v>865287.09544155828</v>
      </c>
      <c r="AG140">
        <f t="shared" si="42"/>
        <v>17342.949253935156</v>
      </c>
      <c r="AH140" s="29">
        <v>474071.15787581197</v>
      </c>
      <c r="AI140">
        <f t="shared" si="43"/>
        <v>3413312.3367058462</v>
      </c>
      <c r="AJ140">
        <f t="shared" si="44"/>
        <v>4876160.4810083518</v>
      </c>
      <c r="AK140">
        <f t="shared" si="45"/>
        <v>40.6346706750696</v>
      </c>
      <c r="AL140">
        <f t="shared" si="46"/>
        <v>174.7927770758948</v>
      </c>
      <c r="AM140">
        <f t="shared" si="47"/>
        <v>852317.63194318081</v>
      </c>
      <c r="AN140">
        <f t="shared" si="48"/>
        <v>17083.002297037176</v>
      </c>
      <c r="AO140" s="29">
        <v>306550.40772007202</v>
      </c>
      <c r="AP140">
        <f t="shared" si="49"/>
        <v>2207162.9355845186</v>
      </c>
      <c r="AQ140">
        <f t="shared" si="50"/>
        <v>3153089.9079778837</v>
      </c>
      <c r="AR140">
        <f t="shared" si="51"/>
        <v>26.275749233149032</v>
      </c>
      <c r="AS140">
        <f t="shared" si="52"/>
        <v>184.8169297806318</v>
      </c>
      <c r="AT140">
        <f t="shared" si="53"/>
        <v>582744.3961147673</v>
      </c>
      <c r="AU140">
        <f t="shared" si="54"/>
        <v>11679.945931328282</v>
      </c>
      <c r="AV140" s="29">
        <v>113344.60079497</v>
      </c>
      <c r="AW140">
        <f t="shared" si="55"/>
        <v>816081.12572378397</v>
      </c>
      <c r="AX140">
        <f t="shared" si="56"/>
        <v>1165830.1796054058</v>
      </c>
      <c r="AY140">
        <f t="shared" si="57"/>
        <v>9.7152514967117156</v>
      </c>
      <c r="AZ140">
        <f t="shared" si="58"/>
        <v>196.3780319739937</v>
      </c>
      <c r="BA140">
        <f t="shared" si="59"/>
        <v>228943.43628679719</v>
      </c>
      <c r="BB140">
        <f t="shared" si="60"/>
        <v>4588.7132934962765</v>
      </c>
      <c r="BC140" s="29">
        <v>367486.65147210698</v>
      </c>
      <c r="BD140">
        <f t="shared" si="61"/>
        <v>2645903.8905991702</v>
      </c>
      <c r="BE140">
        <f t="shared" si="62"/>
        <v>3779862.7008559578</v>
      </c>
      <c r="BF140">
        <f t="shared" si="63"/>
        <v>31.498855840466316</v>
      </c>
      <c r="BG140">
        <f t="shared" si="64"/>
        <v>181.17061007363674</v>
      </c>
      <c r="BH140">
        <f t="shared" si="65"/>
        <v>684800.0315086582</v>
      </c>
      <c r="BI140">
        <f t="shared" si="66"/>
        <v>13725.447031528038</v>
      </c>
      <c r="BJ140" s="29">
        <v>300988.31453732599</v>
      </c>
      <c r="BK140">
        <f t="shared" si="67"/>
        <v>2167115.8646687474</v>
      </c>
      <c r="BL140">
        <f t="shared" si="68"/>
        <v>3095879.8066696394</v>
      </c>
      <c r="BM140">
        <f t="shared" si="69"/>
        <v>25.79899838891366</v>
      </c>
      <c r="BN140">
        <f t="shared" si="70"/>
        <v>185.14975584170179</v>
      </c>
      <c r="BO140">
        <f t="shared" si="71"/>
        <v>573201.39032013866</v>
      </c>
      <c r="BP140">
        <f t="shared" si="72"/>
        <v>11488.67546618654</v>
      </c>
    </row>
    <row r="141" spans="1:68" x14ac:dyDescent="0.25">
      <c r="A141">
        <v>10</v>
      </c>
      <c r="B141">
        <v>140</v>
      </c>
      <c r="C141">
        <f t="shared" si="81"/>
        <v>0.13100000000000001</v>
      </c>
      <c r="D141">
        <v>0.113</v>
      </c>
      <c r="E141">
        <f t="shared" si="22"/>
        <v>1.4802999999999999</v>
      </c>
      <c r="F141" s="29">
        <v>499996.8</v>
      </c>
      <c r="G141">
        <f t="shared" si="23"/>
        <v>3599976.96</v>
      </c>
      <c r="H141">
        <f t="shared" si="24"/>
        <v>5142824.2285714289</v>
      </c>
      <c r="I141">
        <f t="shared" si="25"/>
        <v>42.856868571428571</v>
      </c>
      <c r="J141">
        <f t="shared" si="26"/>
        <v>173.24143137466308</v>
      </c>
      <c r="K141">
        <f t="shared" si="27"/>
        <v>890950.2306660118</v>
      </c>
      <c r="L141">
        <f t="shared" si="28"/>
        <v>13188.736264548972</v>
      </c>
      <c r="M141" s="7">
        <v>504214.21365013998</v>
      </c>
      <c r="N141">
        <f t="shared" si="29"/>
        <v>3630342.3382810079</v>
      </c>
      <c r="O141">
        <f t="shared" si="30"/>
        <v>5186203.3404014399</v>
      </c>
      <c r="P141">
        <f t="shared" si="31"/>
        <v>43.218361170011995</v>
      </c>
      <c r="Q141">
        <f t="shared" si="32"/>
        <v>172.98906861716142</v>
      </c>
      <c r="R141">
        <f t="shared" si="33"/>
        <v>897156.48551525653</v>
      </c>
      <c r="S141">
        <f t="shared" si="34"/>
        <v>13280.607455082343</v>
      </c>
      <c r="T141" s="29">
        <v>506321.12971348403</v>
      </c>
      <c r="U141">
        <f t="shared" si="76"/>
        <v>3645512.133937085</v>
      </c>
      <c r="V141">
        <f t="shared" si="77"/>
        <v>5207874.4770529792</v>
      </c>
      <c r="W141">
        <f t="shared" si="78"/>
        <v>43.398953975441493</v>
      </c>
      <c r="X141">
        <f t="shared" si="35"/>
        <v>172.86299439450312</v>
      </c>
      <c r="Y141">
        <f t="shared" si="36"/>
        <v>900248.77653408505</v>
      </c>
      <c r="Z141">
        <f t="shared" si="37"/>
        <v>13326.382639034062</v>
      </c>
      <c r="AA141" s="29">
        <v>506326.50218055199</v>
      </c>
      <c r="AB141">
        <f t="shared" si="79"/>
        <v>3645550.8156999745</v>
      </c>
      <c r="AC141">
        <f t="shared" si="38"/>
        <v>5207929.7367142485</v>
      </c>
      <c r="AD141">
        <f t="shared" si="39"/>
        <v>43.399414472618737</v>
      </c>
      <c r="AE141">
        <f t="shared" si="40"/>
        <v>172.86267291534165</v>
      </c>
      <c r="AF141">
        <f t="shared" si="41"/>
        <v>900256.65464371641</v>
      </c>
      <c r="AG141">
        <f t="shared" si="42"/>
        <v>13326.499258690934</v>
      </c>
      <c r="AH141" s="29">
        <v>509491.35327082803</v>
      </c>
      <c r="AI141">
        <f t="shared" si="43"/>
        <v>3668337.7435499621</v>
      </c>
      <c r="AJ141">
        <f t="shared" si="44"/>
        <v>5240482.4907856602</v>
      </c>
      <c r="AK141">
        <f t="shared" si="45"/>
        <v>43.670687423213835</v>
      </c>
      <c r="AL141">
        <f t="shared" si="46"/>
        <v>172.6732936856809</v>
      </c>
      <c r="AM141">
        <f t="shared" si="47"/>
        <v>904891.37218610081</v>
      </c>
      <c r="AN141">
        <f t="shared" si="48"/>
        <v>13395.10698247085</v>
      </c>
      <c r="AO141" s="29">
        <v>303864.76854999602</v>
      </c>
      <c r="AP141">
        <f t="shared" si="49"/>
        <v>2187826.3335599713</v>
      </c>
      <c r="AQ141">
        <f t="shared" si="50"/>
        <v>3125466.190799959</v>
      </c>
      <c r="AR141">
        <f t="shared" si="51"/>
        <v>26.045551589999654</v>
      </c>
      <c r="AS141">
        <f t="shared" si="52"/>
        <v>184.97763379566061</v>
      </c>
      <c r="AT141">
        <f t="shared" si="53"/>
        <v>578141.34048251307</v>
      </c>
      <c r="AU141">
        <f t="shared" si="54"/>
        <v>8558.2262631626418</v>
      </c>
      <c r="AV141" s="29">
        <v>108086.88017082799</v>
      </c>
      <c r="AW141">
        <f t="shared" si="55"/>
        <v>778225.5372299616</v>
      </c>
      <c r="AX141">
        <f t="shared" si="56"/>
        <v>1111750.7674713738</v>
      </c>
      <c r="AY141">
        <f t="shared" si="57"/>
        <v>9.2645897289281152</v>
      </c>
      <c r="AZ141">
        <f t="shared" si="58"/>
        <v>196.69264490621998</v>
      </c>
      <c r="BA141">
        <f t="shared" si="59"/>
        <v>218673.19893046448</v>
      </c>
      <c r="BB141">
        <f t="shared" si="60"/>
        <v>3237.0193637676657</v>
      </c>
      <c r="BC141" s="29">
        <v>412668.84355163301</v>
      </c>
      <c r="BD141">
        <f t="shared" si="61"/>
        <v>2971215.6735717575</v>
      </c>
      <c r="BE141">
        <f t="shared" si="62"/>
        <v>4244593.8193882257</v>
      </c>
      <c r="BF141">
        <f t="shared" si="63"/>
        <v>35.371615161568549</v>
      </c>
      <c r="BG141">
        <f t="shared" si="64"/>
        <v>178.46698564192383</v>
      </c>
      <c r="BH141">
        <f t="shared" si="65"/>
        <v>757519.86422055704</v>
      </c>
      <c r="BI141">
        <f t="shared" si="66"/>
        <v>11213.566550056907</v>
      </c>
      <c r="BJ141" s="29">
        <v>368795.38393396803</v>
      </c>
      <c r="BK141">
        <f t="shared" si="67"/>
        <v>2655326.7643245701</v>
      </c>
      <c r="BL141">
        <f t="shared" si="68"/>
        <v>3793323.9490351002</v>
      </c>
      <c r="BM141">
        <f t="shared" si="69"/>
        <v>31.611032908625837</v>
      </c>
      <c r="BN141">
        <f t="shared" si="70"/>
        <v>181.09229778077065</v>
      </c>
      <c r="BO141">
        <f t="shared" si="71"/>
        <v>686941.75015759328</v>
      </c>
      <c r="BP141">
        <f t="shared" si="72"/>
        <v>10168.798727582853</v>
      </c>
    </row>
    <row r="142" spans="1:68" x14ac:dyDescent="0.25">
      <c r="A142">
        <v>10</v>
      </c>
      <c r="B142">
        <v>160</v>
      </c>
      <c r="C142">
        <f t="shared" si="81"/>
        <v>0.13100000000000001</v>
      </c>
      <c r="D142">
        <v>0.06</v>
      </c>
      <c r="E142">
        <f t="shared" si="22"/>
        <v>0.78600000000000003</v>
      </c>
      <c r="F142" s="29">
        <v>499996.8</v>
      </c>
      <c r="G142">
        <f t="shared" si="23"/>
        <v>3599976.96</v>
      </c>
      <c r="H142">
        <f t="shared" si="24"/>
        <v>5142824.2285714289</v>
      </c>
      <c r="I142">
        <f t="shared" si="25"/>
        <v>42.856868571428571</v>
      </c>
      <c r="J142">
        <f t="shared" si="26"/>
        <v>173.24143137466308</v>
      </c>
      <c r="K142">
        <f t="shared" si="27"/>
        <v>890950.2306660118</v>
      </c>
      <c r="L142">
        <f t="shared" si="28"/>
        <v>7002.8688130348537</v>
      </c>
      <c r="M142" s="7">
        <v>502991.02636572899</v>
      </c>
      <c r="N142">
        <f t="shared" si="29"/>
        <v>3621535.3898332487</v>
      </c>
      <c r="O142">
        <f t="shared" si="30"/>
        <v>5173621.9854760701</v>
      </c>
      <c r="P142">
        <f t="shared" si="31"/>
        <v>43.113516545633914</v>
      </c>
      <c r="Q142">
        <f t="shared" si="32"/>
        <v>173.06226203418009</v>
      </c>
      <c r="R142">
        <f t="shared" si="33"/>
        <v>895358.7237162547</v>
      </c>
      <c r="S142">
        <f t="shared" si="34"/>
        <v>7037.5195684097625</v>
      </c>
      <c r="T142" s="29">
        <v>504496.52736611798</v>
      </c>
      <c r="U142">
        <f t="shared" si="76"/>
        <v>3632374.9970360496</v>
      </c>
      <c r="V142">
        <f t="shared" si="77"/>
        <v>5189107.1386229275</v>
      </c>
      <c r="W142">
        <f t="shared" si="78"/>
        <v>43.2425594885244</v>
      </c>
      <c r="X142">
        <f t="shared" si="35"/>
        <v>172.97217545140751</v>
      </c>
      <c r="Y142">
        <f t="shared" si="36"/>
        <v>897571.15041803627</v>
      </c>
      <c r="Z142">
        <f t="shared" si="37"/>
        <v>7054.9092422857657</v>
      </c>
      <c r="AA142" s="29">
        <v>504471.33568585297</v>
      </c>
      <c r="AB142">
        <f t="shared" si="79"/>
        <v>3632193.6169381416</v>
      </c>
      <c r="AC142">
        <f t="shared" si="38"/>
        <v>5188848.0241973447</v>
      </c>
      <c r="AD142">
        <f t="shared" si="39"/>
        <v>43.24040020164454</v>
      </c>
      <c r="AE142">
        <f t="shared" si="40"/>
        <v>172.97368287809721</v>
      </c>
      <c r="AF142">
        <f t="shared" si="41"/>
        <v>897534.15264015284</v>
      </c>
      <c r="AG142">
        <f t="shared" si="42"/>
        <v>7054.6184397516017</v>
      </c>
      <c r="AH142" s="29">
        <v>506708.60352877999</v>
      </c>
      <c r="AI142">
        <f t="shared" si="43"/>
        <v>3648301.945407216</v>
      </c>
      <c r="AJ142">
        <f t="shared" si="44"/>
        <v>5211859.9220103081</v>
      </c>
      <c r="AK142">
        <f t="shared" si="45"/>
        <v>43.432166016752568</v>
      </c>
      <c r="AL142">
        <f t="shared" si="46"/>
        <v>172.83980862981423</v>
      </c>
      <c r="AM142">
        <f t="shared" si="47"/>
        <v>900816.87152566016</v>
      </c>
      <c r="AN142">
        <f t="shared" si="48"/>
        <v>7080.4206101916898</v>
      </c>
      <c r="AO142" s="29">
        <v>326919.740653346</v>
      </c>
      <c r="AP142">
        <f t="shared" si="49"/>
        <v>2353822.1327040913</v>
      </c>
      <c r="AQ142">
        <f t="shared" si="50"/>
        <v>3362603.0467201304</v>
      </c>
      <c r="AR142">
        <f t="shared" si="51"/>
        <v>28.021692056001086</v>
      </c>
      <c r="AS142">
        <f t="shared" si="52"/>
        <v>183.5980640363766</v>
      </c>
      <c r="AT142">
        <f t="shared" si="53"/>
        <v>617367.40950063756</v>
      </c>
      <c r="AU142">
        <f t="shared" si="54"/>
        <v>4852.507838675012</v>
      </c>
      <c r="AV142" s="29">
        <v>154263.83264653699</v>
      </c>
      <c r="AW142">
        <f t="shared" si="55"/>
        <v>1110699.5950550663</v>
      </c>
      <c r="AX142">
        <f t="shared" si="56"/>
        <v>1586713.7072215234</v>
      </c>
      <c r="AY142">
        <f t="shared" si="57"/>
        <v>13.22261422684603</v>
      </c>
      <c r="AZ142">
        <f t="shared" si="58"/>
        <v>193.92949572842824</v>
      </c>
      <c r="BA142">
        <f t="shared" si="59"/>
        <v>307710.58910685498</v>
      </c>
      <c r="BB142">
        <f t="shared" si="60"/>
        <v>2418.6052303798806</v>
      </c>
      <c r="BC142" s="29">
        <v>457306.41640273802</v>
      </c>
      <c r="BD142">
        <f t="shared" si="61"/>
        <v>3292606.1980997138</v>
      </c>
      <c r="BE142">
        <f t="shared" si="62"/>
        <v>4703723.1401424482</v>
      </c>
      <c r="BF142">
        <f t="shared" si="63"/>
        <v>39.197692834520403</v>
      </c>
      <c r="BG142">
        <f t="shared" si="64"/>
        <v>175.79595028533481</v>
      </c>
      <c r="BH142">
        <f t="shared" si="65"/>
        <v>826895.47930046078</v>
      </c>
      <c r="BI142">
        <f t="shared" si="66"/>
        <v>6499.3984673016221</v>
      </c>
      <c r="BJ142" s="29">
        <v>435848.06838768499</v>
      </c>
      <c r="BK142">
        <f t="shared" si="67"/>
        <v>3138106.0923913321</v>
      </c>
      <c r="BL142">
        <f t="shared" si="68"/>
        <v>4483008.7034161892</v>
      </c>
      <c r="BM142">
        <f t="shared" si="69"/>
        <v>37.358405861801572</v>
      </c>
      <c r="BN142">
        <f t="shared" si="70"/>
        <v>177.07998081345929</v>
      </c>
      <c r="BO142">
        <f t="shared" si="71"/>
        <v>793851.09518750978</v>
      </c>
      <c r="BP142">
        <f t="shared" si="72"/>
        <v>6239.6696081738273</v>
      </c>
    </row>
    <row r="143" spans="1:68" x14ac:dyDescent="0.25">
      <c r="A143">
        <v>10</v>
      </c>
      <c r="B143">
        <v>180</v>
      </c>
      <c r="C143">
        <f t="shared" si="81"/>
        <v>0.13100000000000001</v>
      </c>
      <c r="D143">
        <v>0</v>
      </c>
      <c r="E143">
        <f t="shared" si="22"/>
        <v>0</v>
      </c>
      <c r="F143" s="29">
        <v>499996.8</v>
      </c>
      <c r="G143">
        <f t="shared" si="23"/>
        <v>3599976.96</v>
      </c>
      <c r="H143">
        <f t="shared" si="24"/>
        <v>5142824.2285714289</v>
      </c>
      <c r="I143">
        <f t="shared" si="25"/>
        <v>42.856868571428571</v>
      </c>
      <c r="J143">
        <f t="shared" si="26"/>
        <v>173.24143137466308</v>
      </c>
      <c r="K143">
        <f t="shared" si="27"/>
        <v>890950.2306660118</v>
      </c>
      <c r="L143">
        <f t="shared" si="28"/>
        <v>0</v>
      </c>
      <c r="M143" s="7">
        <v>484409.71092006</v>
      </c>
      <c r="N143">
        <f t="shared" si="29"/>
        <v>3487749.9186244318</v>
      </c>
      <c r="O143">
        <f t="shared" si="30"/>
        <v>4982499.8837491889</v>
      </c>
      <c r="P143">
        <f t="shared" si="31"/>
        <v>41.52083236457657</v>
      </c>
      <c r="Q143">
        <f t="shared" si="32"/>
        <v>174.17413589642769</v>
      </c>
      <c r="R143">
        <f t="shared" si="33"/>
        <v>867822.61185606639</v>
      </c>
      <c r="S143">
        <f t="shared" si="34"/>
        <v>0</v>
      </c>
      <c r="T143" s="29">
        <v>476641.62723611703</v>
      </c>
      <c r="U143">
        <f t="shared" si="76"/>
        <v>3431819.7161000427</v>
      </c>
      <c r="V143">
        <f t="shared" si="77"/>
        <v>4902599.5944286324</v>
      </c>
      <c r="W143">
        <f t="shared" si="78"/>
        <v>40.854996620238602</v>
      </c>
      <c r="X143">
        <f t="shared" si="35"/>
        <v>174.63896462360702</v>
      </c>
      <c r="Y143">
        <f t="shared" si="36"/>
        <v>856184.91713513213</v>
      </c>
      <c r="Z143">
        <f t="shared" si="37"/>
        <v>0</v>
      </c>
      <c r="AA143" s="29">
        <v>476565.20697599999</v>
      </c>
      <c r="AB143">
        <f t="shared" si="79"/>
        <v>3431269.4902272001</v>
      </c>
      <c r="AC143">
        <f t="shared" si="38"/>
        <v>4901813.557467428</v>
      </c>
      <c r="AD143">
        <f t="shared" si="39"/>
        <v>40.848446312228567</v>
      </c>
      <c r="AE143">
        <f t="shared" si="40"/>
        <v>174.64353748014233</v>
      </c>
      <c r="AF143">
        <f t="shared" si="41"/>
        <v>856070.05974423257</v>
      </c>
      <c r="AG143">
        <f t="shared" si="42"/>
        <v>0</v>
      </c>
      <c r="AH143" s="29">
        <v>464849.41046400002</v>
      </c>
      <c r="AI143">
        <f t="shared" si="43"/>
        <v>3346915.7553408002</v>
      </c>
      <c r="AJ143">
        <f t="shared" si="44"/>
        <v>4781308.2219154285</v>
      </c>
      <c r="AK143">
        <f t="shared" si="45"/>
        <v>39.844235182628573</v>
      </c>
      <c r="AL143">
        <f t="shared" si="46"/>
        <v>175.34459053288194</v>
      </c>
      <c r="AM143">
        <f t="shared" si="47"/>
        <v>838376.53238326265</v>
      </c>
      <c r="AN143">
        <f t="shared" si="48"/>
        <v>0</v>
      </c>
      <c r="AO143" s="29">
        <v>371708.29994260502</v>
      </c>
      <c r="AP143">
        <f t="shared" si="49"/>
        <v>2676299.7595867561</v>
      </c>
      <c r="AQ143">
        <f t="shared" si="50"/>
        <v>3823285.370838223</v>
      </c>
      <c r="AR143">
        <f t="shared" si="51"/>
        <v>31.86071142365186</v>
      </c>
      <c r="AS143">
        <f t="shared" si="52"/>
        <v>180.91799391179021</v>
      </c>
      <c r="AT143">
        <f t="shared" si="53"/>
        <v>691701.11944434617</v>
      </c>
      <c r="AU143">
        <f t="shared" si="54"/>
        <v>0</v>
      </c>
      <c r="AV143" s="29">
        <v>243859.901012527</v>
      </c>
      <c r="AW143">
        <f t="shared" si="55"/>
        <v>1755791.2872901945</v>
      </c>
      <c r="AX143">
        <f t="shared" si="56"/>
        <v>2508273.2675574208</v>
      </c>
      <c r="AY143">
        <f t="shared" si="57"/>
        <v>20.902277229645172</v>
      </c>
      <c r="AZ143">
        <f t="shared" si="58"/>
        <v>188.56822155666279</v>
      </c>
      <c r="BA143">
        <f t="shared" si="59"/>
        <v>472980.62924142223</v>
      </c>
      <c r="BB143">
        <f t="shared" si="60"/>
        <v>0</v>
      </c>
      <c r="BC143" s="29">
        <v>487038.22452309699</v>
      </c>
      <c r="BD143">
        <f t="shared" si="61"/>
        <v>3506675.2165662982</v>
      </c>
      <c r="BE143">
        <f t="shared" si="62"/>
        <v>5009536.0236661397</v>
      </c>
      <c r="BF143">
        <f t="shared" si="63"/>
        <v>41.746133530551162</v>
      </c>
      <c r="BG143">
        <f t="shared" si="64"/>
        <v>174.01685017678503</v>
      </c>
      <c r="BH143">
        <f t="shared" si="65"/>
        <v>871743.67968551803</v>
      </c>
      <c r="BI143">
        <f t="shared" si="66"/>
        <v>0</v>
      </c>
      <c r="BJ143" s="29">
        <v>480516.28259063198</v>
      </c>
      <c r="BK143">
        <f t="shared" si="67"/>
        <v>3459717.2346525504</v>
      </c>
      <c r="BL143">
        <f t="shared" si="68"/>
        <v>4942453.1923607858</v>
      </c>
      <c r="BM143">
        <f t="shared" si="69"/>
        <v>41.18710993633988</v>
      </c>
      <c r="BN143">
        <f t="shared" si="70"/>
        <v>174.40711193123443</v>
      </c>
      <c r="BO143">
        <f t="shared" si="71"/>
        <v>861998.98713495443</v>
      </c>
      <c r="BP143">
        <f t="shared" si="72"/>
        <v>0</v>
      </c>
    </row>
    <row r="144" spans="1:68" x14ac:dyDescent="0.25">
      <c r="A144">
        <v>12</v>
      </c>
      <c r="B144">
        <v>0</v>
      </c>
      <c r="C144">
        <f>$AB$8</f>
        <v>7.9600000000000004E-2</v>
      </c>
      <c r="D144" cm="1">
        <f t="array" ref="D144:D153">$AD$2:$AD$11</f>
        <v>0</v>
      </c>
      <c r="E144">
        <f t="shared" si="22"/>
        <v>0</v>
      </c>
      <c r="F144" s="29">
        <v>499996.8</v>
      </c>
      <c r="G144">
        <f t="shared" si="23"/>
        <v>3599976.96</v>
      </c>
      <c r="H144">
        <f t="shared" si="24"/>
        <v>5142824.2285714289</v>
      </c>
      <c r="I144">
        <f t="shared" si="25"/>
        <v>42.856868571428571</v>
      </c>
      <c r="J144">
        <f t="shared" si="26"/>
        <v>173.24143137466308</v>
      </c>
      <c r="K144">
        <f t="shared" si="27"/>
        <v>890950.2306660118</v>
      </c>
      <c r="L144">
        <f t="shared" si="28"/>
        <v>0</v>
      </c>
      <c r="M144" s="7">
        <v>501212.62866798497</v>
      </c>
      <c r="N144">
        <f t="shared" si="29"/>
        <v>3608730.9264094918</v>
      </c>
      <c r="O144">
        <f t="shared" si="30"/>
        <v>5155329.8948707031</v>
      </c>
      <c r="P144">
        <f t="shared" si="31"/>
        <v>42.961082457255863</v>
      </c>
      <c r="Q144">
        <f t="shared" si="32"/>
        <v>173.16867828455722</v>
      </c>
      <c r="R144">
        <f t="shared" si="33"/>
        <v>892741.66401562502</v>
      </c>
      <c r="S144">
        <f t="shared" si="34"/>
        <v>0</v>
      </c>
      <c r="T144" s="29">
        <v>501819.98914523202</v>
      </c>
      <c r="U144">
        <f t="shared" si="76"/>
        <v>3613103.9218456708</v>
      </c>
      <c r="V144">
        <f t="shared" si="77"/>
        <v>5161577.0312081017</v>
      </c>
      <c r="W144">
        <f t="shared" si="78"/>
        <v>43.013141926734178</v>
      </c>
      <c r="X144">
        <f t="shared" si="35"/>
        <v>173.1323348813365</v>
      </c>
      <c r="Y144">
        <f t="shared" si="36"/>
        <v>893635.8830829357</v>
      </c>
      <c r="Z144">
        <f t="shared" si="37"/>
        <v>0</v>
      </c>
      <c r="AA144" s="29">
        <v>501821.65094399999</v>
      </c>
      <c r="AB144">
        <f t="shared" si="79"/>
        <v>3613115.8867968</v>
      </c>
      <c r="AC144">
        <f t="shared" si="38"/>
        <v>5161594.123995428</v>
      </c>
      <c r="AD144">
        <f t="shared" si="39"/>
        <v>43.013284366628568</v>
      </c>
      <c r="AE144">
        <f t="shared" si="40"/>
        <v>173.13223544216495</v>
      </c>
      <c r="AF144">
        <f t="shared" si="41"/>
        <v>893638.32913247158</v>
      </c>
      <c r="AG144">
        <f t="shared" si="42"/>
        <v>0</v>
      </c>
      <c r="AH144" s="29">
        <v>502734.07641600003</v>
      </c>
      <c r="AI144">
        <f t="shared" si="43"/>
        <v>3619685.3501952002</v>
      </c>
      <c r="AJ144">
        <f t="shared" si="44"/>
        <v>5170979.0717074294</v>
      </c>
      <c r="AK144">
        <f t="shared" si="45"/>
        <v>43.091492264228577</v>
      </c>
      <c r="AL144">
        <f t="shared" si="46"/>
        <v>173.07763747591591</v>
      </c>
      <c r="AM144">
        <f t="shared" si="47"/>
        <v>894980.84116852668</v>
      </c>
      <c r="AN144">
        <f t="shared" si="48"/>
        <v>0</v>
      </c>
      <c r="AO144" s="29">
        <v>510000.25055785599</v>
      </c>
      <c r="AP144">
        <f t="shared" si="49"/>
        <v>3672001.8040165631</v>
      </c>
      <c r="AQ144">
        <f t="shared" si="50"/>
        <v>5245716.8628808046</v>
      </c>
      <c r="AR144">
        <f t="shared" si="51"/>
        <v>43.714307190673374</v>
      </c>
      <c r="AS144">
        <f t="shared" si="52"/>
        <v>172.64284214990727</v>
      </c>
      <c r="AT144">
        <f t="shared" si="53"/>
        <v>905635.46832143748</v>
      </c>
      <c r="AU144">
        <f t="shared" si="54"/>
        <v>0</v>
      </c>
      <c r="AV144" s="29">
        <v>519994.14032095898</v>
      </c>
      <c r="AW144">
        <f t="shared" si="55"/>
        <v>3743957.8103109049</v>
      </c>
      <c r="AX144">
        <f t="shared" si="56"/>
        <v>5348511.1575870067</v>
      </c>
      <c r="AY144">
        <f t="shared" si="57"/>
        <v>44.570926313225058</v>
      </c>
      <c r="AZ144">
        <f t="shared" si="58"/>
        <v>172.04482502661648</v>
      </c>
      <c r="BA144">
        <f t="shared" si="59"/>
        <v>920183.6662599626</v>
      </c>
      <c r="BB144">
        <f t="shared" si="60"/>
        <v>0</v>
      </c>
      <c r="BC144" s="29">
        <v>501007.60920304898</v>
      </c>
      <c r="BD144">
        <f t="shared" si="61"/>
        <v>3607254.7862619529</v>
      </c>
      <c r="BE144">
        <f t="shared" si="62"/>
        <v>5153221.1232313616</v>
      </c>
      <c r="BF144">
        <f t="shared" si="63"/>
        <v>42.943509360261345</v>
      </c>
      <c r="BG144">
        <f t="shared" si="64"/>
        <v>173.18094629566662</v>
      </c>
      <c r="BH144">
        <f t="shared" si="65"/>
        <v>892439.71059202531</v>
      </c>
      <c r="BI144">
        <f t="shared" si="66"/>
        <v>0</v>
      </c>
      <c r="BJ144" s="29">
        <v>501513.941431557</v>
      </c>
      <c r="BK144">
        <f t="shared" si="67"/>
        <v>3610900.3783072103</v>
      </c>
      <c r="BL144">
        <f t="shared" si="68"/>
        <v>5158429.1118674427</v>
      </c>
      <c r="BM144">
        <f t="shared" si="69"/>
        <v>42.986909265562019</v>
      </c>
      <c r="BN144">
        <f t="shared" si="70"/>
        <v>173.15064824856992</v>
      </c>
      <c r="BO144">
        <f t="shared" si="71"/>
        <v>893185.34466414247</v>
      </c>
      <c r="BP144">
        <f t="shared" si="72"/>
        <v>0</v>
      </c>
    </row>
    <row r="145" spans="1:68" x14ac:dyDescent="0.25">
      <c r="A145">
        <v>12</v>
      </c>
      <c r="B145">
        <v>20</v>
      </c>
      <c r="C145">
        <f t="shared" ref="C145:C153" si="82">$AB$8</f>
        <v>7.9600000000000004E-2</v>
      </c>
      <c r="D145">
        <v>0.06</v>
      </c>
      <c r="E145">
        <f t="shared" si="22"/>
        <v>0.47759999999999997</v>
      </c>
      <c r="F145" s="29">
        <v>499996.8</v>
      </c>
      <c r="G145">
        <f t="shared" si="23"/>
        <v>3599976.96</v>
      </c>
      <c r="H145">
        <f t="shared" si="24"/>
        <v>5142824.2285714289</v>
      </c>
      <c r="I145">
        <f t="shared" si="25"/>
        <v>42.856868571428571</v>
      </c>
      <c r="J145">
        <f t="shared" si="26"/>
        <v>173.24143137466308</v>
      </c>
      <c r="K145">
        <f t="shared" si="27"/>
        <v>890950.2306660118</v>
      </c>
      <c r="L145">
        <f t="shared" si="28"/>
        <v>4255.1783016608724</v>
      </c>
      <c r="M145" s="7">
        <v>504774.25192381098</v>
      </c>
      <c r="N145">
        <f t="shared" si="29"/>
        <v>3634374.6138514392</v>
      </c>
      <c r="O145">
        <f t="shared" si="30"/>
        <v>5191963.7340734852</v>
      </c>
      <c r="P145">
        <f t="shared" si="31"/>
        <v>43.266364450612379</v>
      </c>
      <c r="Q145">
        <f t="shared" si="32"/>
        <v>172.95555689296873</v>
      </c>
      <c r="R145">
        <f t="shared" si="33"/>
        <v>897978.97899477708</v>
      </c>
      <c r="S145">
        <f t="shared" si="34"/>
        <v>4288.7476036790549</v>
      </c>
      <c r="T145" s="29">
        <v>507163.040089102</v>
      </c>
      <c r="U145">
        <f t="shared" si="76"/>
        <v>3651573.8886415344</v>
      </c>
      <c r="V145">
        <f t="shared" si="77"/>
        <v>5216534.1266307635</v>
      </c>
      <c r="W145">
        <f t="shared" si="78"/>
        <v>43.471117721923029</v>
      </c>
      <c r="X145">
        <f t="shared" si="35"/>
        <v>172.81261592997825</v>
      </c>
      <c r="Y145">
        <f t="shared" si="36"/>
        <v>901482.90851106669</v>
      </c>
      <c r="Z145">
        <f t="shared" si="37"/>
        <v>4305.4823710488545</v>
      </c>
      <c r="AA145" s="29">
        <v>507162.853461797</v>
      </c>
      <c r="AB145">
        <f t="shared" si="79"/>
        <v>3651572.5449249386</v>
      </c>
      <c r="AC145">
        <f t="shared" si="38"/>
        <v>5216532.2070356263</v>
      </c>
      <c r="AD145">
        <f t="shared" si="39"/>
        <v>43.471101725296883</v>
      </c>
      <c r="AE145">
        <f t="shared" si="40"/>
        <v>172.81262709743424</v>
      </c>
      <c r="AF145">
        <f t="shared" si="41"/>
        <v>901482.63503620343</v>
      </c>
      <c r="AG145">
        <f t="shared" si="42"/>
        <v>4305.4810649329074</v>
      </c>
      <c r="AH145" s="29">
        <v>510745.880192696</v>
      </c>
      <c r="AI145">
        <f t="shared" si="43"/>
        <v>3677370.3373874114</v>
      </c>
      <c r="AJ145">
        <f t="shared" si="44"/>
        <v>5253386.1962677306</v>
      </c>
      <c r="AK145">
        <f t="shared" si="45"/>
        <v>43.778218302231089</v>
      </c>
      <c r="AL145">
        <f t="shared" si="46"/>
        <v>172.5982249588198</v>
      </c>
      <c r="AM145">
        <f t="shared" si="47"/>
        <v>906725.13249897643</v>
      </c>
      <c r="AN145">
        <f t="shared" si="48"/>
        <v>4330.5192328151115</v>
      </c>
      <c r="AO145" s="29">
        <v>489288.59851349198</v>
      </c>
      <c r="AP145">
        <f t="shared" si="49"/>
        <v>3522877.9092971422</v>
      </c>
      <c r="AQ145">
        <f t="shared" si="50"/>
        <v>5032682.7275673458</v>
      </c>
      <c r="AR145">
        <f t="shared" si="51"/>
        <v>41.939022729727881</v>
      </c>
      <c r="AS145">
        <f t="shared" si="52"/>
        <v>173.88219167924657</v>
      </c>
      <c r="AT145">
        <f t="shared" si="53"/>
        <v>875093.90269569878</v>
      </c>
      <c r="AU145">
        <f t="shared" si="54"/>
        <v>4179.4484792746571</v>
      </c>
      <c r="AV145" s="29">
        <v>478558.18963097199</v>
      </c>
      <c r="AW145">
        <f t="shared" si="55"/>
        <v>3445618.9653429985</v>
      </c>
      <c r="AX145">
        <f t="shared" si="56"/>
        <v>4922312.8076328551</v>
      </c>
      <c r="AY145">
        <f t="shared" si="57"/>
        <v>41.019273396940463</v>
      </c>
      <c r="AZ145">
        <f t="shared" si="58"/>
        <v>174.52428083609817</v>
      </c>
      <c r="BA145">
        <f t="shared" si="59"/>
        <v>859063.10280243936</v>
      </c>
      <c r="BB145">
        <f t="shared" si="60"/>
        <v>4102.8853789844507</v>
      </c>
      <c r="BC145" s="29">
        <v>491409.77075142902</v>
      </c>
      <c r="BD145">
        <f t="shared" si="61"/>
        <v>3538150.349410289</v>
      </c>
      <c r="BE145">
        <f t="shared" si="62"/>
        <v>5054500.4991575554</v>
      </c>
      <c r="BF145">
        <f t="shared" si="63"/>
        <v>42.120837492979625</v>
      </c>
      <c r="BG145">
        <f t="shared" si="64"/>
        <v>173.75526439169346</v>
      </c>
      <c r="BH145">
        <f t="shared" si="65"/>
        <v>878246.07059906761</v>
      </c>
      <c r="BI145">
        <f t="shared" si="66"/>
        <v>4194.5032331811472</v>
      </c>
      <c r="BJ145" s="29">
        <v>487121.63971912302</v>
      </c>
      <c r="BK145">
        <f t="shared" si="67"/>
        <v>3507275.8059776858</v>
      </c>
      <c r="BL145">
        <f t="shared" si="68"/>
        <v>5010394.0085395519</v>
      </c>
      <c r="BM145">
        <f t="shared" si="69"/>
        <v>41.753283404496266</v>
      </c>
      <c r="BN145">
        <f t="shared" si="70"/>
        <v>174.01185875535165</v>
      </c>
      <c r="BO145">
        <f t="shared" si="71"/>
        <v>871867.97452264465</v>
      </c>
      <c r="BP145">
        <f t="shared" si="72"/>
        <v>4164.0414463201505</v>
      </c>
    </row>
    <row r="146" spans="1:68" x14ac:dyDescent="0.25">
      <c r="A146">
        <v>12</v>
      </c>
      <c r="B146">
        <v>40</v>
      </c>
      <c r="C146">
        <f t="shared" si="82"/>
        <v>7.9600000000000004E-2</v>
      </c>
      <c r="D146">
        <v>0.113</v>
      </c>
      <c r="E146">
        <f t="shared" si="22"/>
        <v>0.89948000000000006</v>
      </c>
      <c r="F146" s="29">
        <v>499996.8</v>
      </c>
      <c r="G146">
        <f t="shared" si="23"/>
        <v>3599976.96</v>
      </c>
      <c r="H146">
        <f t="shared" si="24"/>
        <v>5142824.2285714289</v>
      </c>
      <c r="I146">
        <f t="shared" si="25"/>
        <v>42.856868571428571</v>
      </c>
      <c r="J146">
        <f t="shared" si="26"/>
        <v>173.24143137466308</v>
      </c>
      <c r="K146">
        <f t="shared" si="27"/>
        <v>890950.2306660118</v>
      </c>
      <c r="L146">
        <f t="shared" si="28"/>
        <v>8013.9191347946435</v>
      </c>
      <c r="M146" s="7">
        <v>489267.21224120999</v>
      </c>
      <c r="N146">
        <f t="shared" si="29"/>
        <v>3522723.9281367119</v>
      </c>
      <c r="O146">
        <f t="shared" si="30"/>
        <v>5032462.7544810167</v>
      </c>
      <c r="P146">
        <f t="shared" si="31"/>
        <v>41.937189620675134</v>
      </c>
      <c r="Q146">
        <f t="shared" si="32"/>
        <v>173.88347139688716</v>
      </c>
      <c r="R146">
        <f t="shared" si="33"/>
        <v>875062.09342469973</v>
      </c>
      <c r="S146">
        <f t="shared" si="34"/>
        <v>7871.0085179364896</v>
      </c>
      <c r="T146" s="29">
        <v>483901.67234600399</v>
      </c>
      <c r="U146">
        <f t="shared" si="76"/>
        <v>3484092.0408912287</v>
      </c>
      <c r="V146">
        <f t="shared" si="77"/>
        <v>4977274.344130327</v>
      </c>
      <c r="W146">
        <f t="shared" si="78"/>
        <v>41.477286201086059</v>
      </c>
      <c r="X146">
        <f t="shared" si="35"/>
        <v>174.20453604829842</v>
      </c>
      <c r="Y146">
        <f t="shared" si="36"/>
        <v>867063.76790432236</v>
      </c>
      <c r="Z146">
        <f t="shared" si="37"/>
        <v>7799.0651795457998</v>
      </c>
      <c r="AA146" s="29">
        <v>483903.91019086598</v>
      </c>
      <c r="AB146">
        <f t="shared" si="79"/>
        <v>3484108.1533742351</v>
      </c>
      <c r="AC146">
        <f t="shared" si="38"/>
        <v>4977297.3619631929</v>
      </c>
      <c r="AD146">
        <f t="shared" si="39"/>
        <v>41.477478016359939</v>
      </c>
      <c r="AE146">
        <f t="shared" si="40"/>
        <v>174.2044021395223</v>
      </c>
      <c r="AF146">
        <f t="shared" si="41"/>
        <v>867067.11121141957</v>
      </c>
      <c r="AG146">
        <f t="shared" si="42"/>
        <v>7799.0952519244775</v>
      </c>
      <c r="AH146" s="29">
        <v>475857.465286299</v>
      </c>
      <c r="AI146">
        <f t="shared" si="43"/>
        <v>3426173.7500613527</v>
      </c>
      <c r="AJ146">
        <f t="shared" si="44"/>
        <v>4894533.9286590759</v>
      </c>
      <c r="AK146">
        <f t="shared" si="45"/>
        <v>40.787782738825634</v>
      </c>
      <c r="AL146">
        <f t="shared" si="46"/>
        <v>174.68588752195191</v>
      </c>
      <c r="AM146">
        <f t="shared" si="47"/>
        <v>855006.00333411666</v>
      </c>
      <c r="AN146">
        <f t="shared" si="48"/>
        <v>7690.6079987897128</v>
      </c>
      <c r="AO146" s="29">
        <v>452664.02008361102</v>
      </c>
      <c r="AP146">
        <f t="shared" si="49"/>
        <v>3259180.9446019996</v>
      </c>
      <c r="AQ146">
        <f t="shared" si="50"/>
        <v>4655972.7780028563</v>
      </c>
      <c r="AR146">
        <f t="shared" si="51"/>
        <v>38.799773150023803</v>
      </c>
      <c r="AS146">
        <f t="shared" si="52"/>
        <v>176.07374327262488</v>
      </c>
      <c r="AT146">
        <f t="shared" si="53"/>
        <v>819794.55559840496</v>
      </c>
      <c r="AU146">
        <f t="shared" si="54"/>
        <v>7373.8880686965331</v>
      </c>
      <c r="AV146" s="29">
        <v>405273.36679026898</v>
      </c>
      <c r="AW146">
        <f t="shared" si="55"/>
        <v>2917968.2408899367</v>
      </c>
      <c r="AX146">
        <f t="shared" si="56"/>
        <v>4168526.0584141952</v>
      </c>
      <c r="AY146">
        <f t="shared" si="57"/>
        <v>34.737717153451626</v>
      </c>
      <c r="AZ146">
        <f t="shared" si="58"/>
        <v>178.9095182136281</v>
      </c>
      <c r="BA146">
        <f t="shared" si="59"/>
        <v>745788.98877183779</v>
      </c>
      <c r="BB146">
        <f t="shared" si="60"/>
        <v>6708.2227962049274</v>
      </c>
      <c r="BC146" s="29">
        <v>449738.825670555</v>
      </c>
      <c r="BD146">
        <f t="shared" si="61"/>
        <v>3238119.5448279963</v>
      </c>
      <c r="BE146">
        <f t="shared" si="62"/>
        <v>4625885.064039995</v>
      </c>
      <c r="BF146">
        <f t="shared" si="63"/>
        <v>38.54904220033329</v>
      </c>
      <c r="BG146">
        <f t="shared" si="64"/>
        <v>176.24878186014467</v>
      </c>
      <c r="BH146">
        <f t="shared" si="65"/>
        <v>815306.60756208643</v>
      </c>
      <c r="BI146">
        <f t="shared" si="66"/>
        <v>7333.5198736994553</v>
      </c>
      <c r="BJ146" s="29">
        <v>424647.23350885598</v>
      </c>
      <c r="BK146">
        <f t="shared" si="67"/>
        <v>3057460.0812637629</v>
      </c>
      <c r="BL146">
        <f t="shared" si="68"/>
        <v>4367800.1160910893</v>
      </c>
      <c r="BM146">
        <f t="shared" si="69"/>
        <v>36.398334300759075</v>
      </c>
      <c r="BN146">
        <f t="shared" si="70"/>
        <v>177.75021945041348</v>
      </c>
      <c r="BO146">
        <f t="shared" si="71"/>
        <v>776377.42915073258</v>
      </c>
      <c r="BP146">
        <f t="shared" si="72"/>
        <v>6983.3596997250097</v>
      </c>
    </row>
    <row r="147" spans="1:68" x14ac:dyDescent="0.25">
      <c r="A147">
        <v>12</v>
      </c>
      <c r="B147">
        <v>60</v>
      </c>
      <c r="C147">
        <f t="shared" si="82"/>
        <v>7.9600000000000004E-2</v>
      </c>
      <c r="D147">
        <v>0.153</v>
      </c>
      <c r="E147">
        <f t="shared" si="22"/>
        <v>1.2178800000000001</v>
      </c>
      <c r="F147" s="29">
        <v>499996.8</v>
      </c>
      <c r="G147">
        <f t="shared" si="23"/>
        <v>3599976.96</v>
      </c>
      <c r="H147">
        <f t="shared" si="24"/>
        <v>5142824.2285714289</v>
      </c>
      <c r="I147">
        <f t="shared" si="25"/>
        <v>42.856868571428571</v>
      </c>
      <c r="J147">
        <f t="shared" si="26"/>
        <v>173.24143137466308</v>
      </c>
      <c r="K147">
        <f t="shared" si="27"/>
        <v>890950.2306660118</v>
      </c>
      <c r="L147">
        <f t="shared" si="28"/>
        <v>10850.704669235225</v>
      </c>
      <c r="M147" s="7">
        <v>462513.60091064603</v>
      </c>
      <c r="N147">
        <f t="shared" si="29"/>
        <v>3330097.9265566515</v>
      </c>
      <c r="O147">
        <f t="shared" si="30"/>
        <v>4757282.7522237878</v>
      </c>
      <c r="P147">
        <f t="shared" si="31"/>
        <v>39.64402293519823</v>
      </c>
      <c r="Q147">
        <f t="shared" si="32"/>
        <v>175.48436134712577</v>
      </c>
      <c r="R147">
        <f t="shared" si="33"/>
        <v>834828.72552168823</v>
      </c>
      <c r="S147">
        <f t="shared" si="34"/>
        <v>10167.212082383538</v>
      </c>
      <c r="T147" s="29">
        <v>443771.31171437399</v>
      </c>
      <c r="U147">
        <f t="shared" si="76"/>
        <v>3195153.4443434929</v>
      </c>
      <c r="V147">
        <f t="shared" si="77"/>
        <v>4564504.9204907045</v>
      </c>
      <c r="W147">
        <f t="shared" si="78"/>
        <v>38.037541004089206</v>
      </c>
      <c r="X147">
        <f t="shared" si="35"/>
        <v>176.60586760091886</v>
      </c>
      <c r="Y147">
        <f t="shared" si="36"/>
        <v>806118.35165192396</v>
      </c>
      <c r="Z147">
        <f t="shared" si="37"/>
        <v>9817.5541810984523</v>
      </c>
      <c r="AA147" s="29">
        <v>443773.38056118198</v>
      </c>
      <c r="AB147">
        <f t="shared" si="79"/>
        <v>3195168.3400405105</v>
      </c>
      <c r="AC147">
        <f t="shared" si="38"/>
        <v>4564526.2000578716</v>
      </c>
      <c r="AD147">
        <f t="shared" si="39"/>
        <v>38.037718333815597</v>
      </c>
      <c r="AE147">
        <f t="shared" si="40"/>
        <v>176.60574380469478</v>
      </c>
      <c r="AF147">
        <f t="shared" si="41"/>
        <v>806121.54467723751</v>
      </c>
      <c r="AG147">
        <f t="shared" si="42"/>
        <v>9817.59306831514</v>
      </c>
      <c r="AH147" s="29">
        <v>415661.67084177397</v>
      </c>
      <c r="AI147">
        <f t="shared" si="43"/>
        <v>2992764.0300607728</v>
      </c>
      <c r="AJ147">
        <f t="shared" si="44"/>
        <v>4275377.1858011037</v>
      </c>
      <c r="AK147">
        <f t="shared" si="45"/>
        <v>35.628143215009196</v>
      </c>
      <c r="AL147">
        <f t="shared" si="46"/>
        <v>178.28790001971055</v>
      </c>
      <c r="AM147">
        <f t="shared" si="47"/>
        <v>762248.02024865861</v>
      </c>
      <c r="AN147">
        <f t="shared" si="48"/>
        <v>9283.2661890043637</v>
      </c>
      <c r="AO147" s="29">
        <v>398616.87361293798</v>
      </c>
      <c r="AP147">
        <f t="shared" si="49"/>
        <v>2870041.4900131538</v>
      </c>
      <c r="AQ147">
        <f t="shared" si="50"/>
        <v>4100059.2714473624</v>
      </c>
      <c r="AR147">
        <f t="shared" si="51"/>
        <v>34.167160595394684</v>
      </c>
      <c r="AS147">
        <f t="shared" si="52"/>
        <v>179.30783128246031</v>
      </c>
      <c r="AT147">
        <f t="shared" si="53"/>
        <v>735172.73609277082</v>
      </c>
      <c r="AU147">
        <f t="shared" si="54"/>
        <v>8953.5217183266377</v>
      </c>
      <c r="AV147" s="29">
        <v>297161.10356914299</v>
      </c>
      <c r="AW147">
        <f t="shared" si="55"/>
        <v>2139559.9456978296</v>
      </c>
      <c r="AX147">
        <f t="shared" si="56"/>
        <v>3056514.2081397567</v>
      </c>
      <c r="AY147">
        <f t="shared" si="57"/>
        <v>25.470951734497973</v>
      </c>
      <c r="AZ147">
        <f t="shared" si="58"/>
        <v>185.37876954384103</v>
      </c>
      <c r="BA147">
        <f t="shared" si="59"/>
        <v>566612.8429982157</v>
      </c>
      <c r="BB147">
        <f t="shared" si="60"/>
        <v>6900.6644923066697</v>
      </c>
      <c r="BC147" s="29">
        <v>377106.40758089803</v>
      </c>
      <c r="BD147">
        <f t="shared" si="61"/>
        <v>2715166.134582466</v>
      </c>
      <c r="BE147">
        <f t="shared" si="62"/>
        <v>3878808.7636892372</v>
      </c>
      <c r="BF147">
        <f t="shared" si="63"/>
        <v>32.32340636407698</v>
      </c>
      <c r="BG147">
        <f t="shared" si="64"/>
        <v>180.59498046281419</v>
      </c>
      <c r="BH147">
        <f t="shared" si="65"/>
        <v>700493.39289745025</v>
      </c>
      <c r="BI147">
        <f t="shared" si="66"/>
        <v>8531.1689334194671</v>
      </c>
      <c r="BJ147" s="29">
        <v>315718.06896780001</v>
      </c>
      <c r="BK147">
        <f t="shared" si="67"/>
        <v>2273170.0965681602</v>
      </c>
      <c r="BL147">
        <f t="shared" si="68"/>
        <v>3247385.852240229</v>
      </c>
      <c r="BM147">
        <f t="shared" si="69"/>
        <v>27.061548768668576</v>
      </c>
      <c r="BN147">
        <f t="shared" si="70"/>
        <v>184.26835274640118</v>
      </c>
      <c r="BO147">
        <f t="shared" si="71"/>
        <v>598390.44172427512</v>
      </c>
      <c r="BP147">
        <f t="shared" si="72"/>
        <v>7287.6775116716017</v>
      </c>
    </row>
    <row r="148" spans="1:68" x14ac:dyDescent="0.25">
      <c r="A148">
        <v>12</v>
      </c>
      <c r="B148">
        <v>80</v>
      </c>
      <c r="C148">
        <f t="shared" si="82"/>
        <v>7.9600000000000004E-2</v>
      </c>
      <c r="D148">
        <v>0.17399999999999999</v>
      </c>
      <c r="E148">
        <f t="shared" si="22"/>
        <v>1.38504</v>
      </c>
      <c r="F148" s="29">
        <v>499996.8</v>
      </c>
      <c r="G148">
        <f t="shared" si="23"/>
        <v>3599976.96</v>
      </c>
      <c r="H148">
        <f t="shared" si="24"/>
        <v>5142824.2285714289</v>
      </c>
      <c r="I148">
        <f t="shared" si="25"/>
        <v>42.856868571428571</v>
      </c>
      <c r="J148">
        <f t="shared" si="26"/>
        <v>173.24143137466308</v>
      </c>
      <c r="K148">
        <f t="shared" si="27"/>
        <v>890950.2306660118</v>
      </c>
      <c r="L148">
        <f t="shared" si="28"/>
        <v>12340.017074816531</v>
      </c>
      <c r="M148" s="7">
        <v>444574.08090430999</v>
      </c>
      <c r="N148">
        <f t="shared" si="29"/>
        <v>3200933.3825110318</v>
      </c>
      <c r="O148">
        <f t="shared" si="30"/>
        <v>4572761.9750157595</v>
      </c>
      <c r="P148">
        <f t="shared" si="31"/>
        <v>38.106349791797996</v>
      </c>
      <c r="Q148">
        <f t="shared" si="32"/>
        <v>176.55783127742404</v>
      </c>
      <c r="R148">
        <f t="shared" si="33"/>
        <v>807356.93725665286</v>
      </c>
      <c r="S148">
        <f t="shared" si="34"/>
        <v>11182.216523779545</v>
      </c>
      <c r="T148" s="29">
        <v>416867.76943724899</v>
      </c>
      <c r="U148">
        <f t="shared" ref="U148:U179" si="83">$G$12*T148</f>
        <v>3001447.9399481928</v>
      </c>
      <c r="V148">
        <f t="shared" ref="V148:V179" si="84">U148*100/$G$15</f>
        <v>4287782.7713545607</v>
      </c>
      <c r="W148">
        <f t="shared" ref="W148:W179" si="85">100*V148/$G$14</f>
        <v>35.731523094621338</v>
      </c>
      <c r="X148">
        <f t="shared" si="35"/>
        <v>178.21572916035868</v>
      </c>
      <c r="Y148">
        <f t="shared" si="36"/>
        <v>764150.33307817648</v>
      </c>
      <c r="Z148">
        <f t="shared" si="37"/>
        <v>10583.787773265976</v>
      </c>
      <c r="AA148" s="29">
        <v>416852.624597791</v>
      </c>
      <c r="AB148">
        <f t="shared" ref="AB148:AB179" si="86">$H$12*AA148</f>
        <v>3001338.8971040952</v>
      </c>
      <c r="AC148">
        <f t="shared" si="38"/>
        <v>4287626.9958629934</v>
      </c>
      <c r="AD148">
        <f t="shared" si="39"/>
        <v>35.730224965524947</v>
      </c>
      <c r="AE148">
        <f t="shared" si="40"/>
        <v>178.21663540142598</v>
      </c>
      <c r="AF148">
        <f t="shared" si="41"/>
        <v>764126.45705902646</v>
      </c>
      <c r="AG148">
        <f t="shared" si="42"/>
        <v>10583.457080850341</v>
      </c>
      <c r="AH148" s="29">
        <v>375280.536896687</v>
      </c>
      <c r="AI148">
        <f t="shared" si="43"/>
        <v>2702019.8656561463</v>
      </c>
      <c r="AJ148">
        <f t="shared" si="44"/>
        <v>3860028.3795087808</v>
      </c>
      <c r="AK148">
        <f t="shared" si="45"/>
        <v>32.166903162573171</v>
      </c>
      <c r="AL148">
        <f t="shared" si="46"/>
        <v>180.70423741480741</v>
      </c>
      <c r="AM148">
        <f t="shared" si="47"/>
        <v>697523.48471864907</v>
      </c>
      <c r="AN148">
        <f t="shared" si="48"/>
        <v>9660.9792727471777</v>
      </c>
      <c r="AO148" s="29">
        <v>337140.922777272</v>
      </c>
      <c r="AP148">
        <f t="shared" si="49"/>
        <v>2427414.6439963584</v>
      </c>
      <c r="AQ148">
        <f t="shared" si="50"/>
        <v>3467735.2057090835</v>
      </c>
      <c r="AR148">
        <f t="shared" si="51"/>
        <v>28.897793380909032</v>
      </c>
      <c r="AS148">
        <f t="shared" si="52"/>
        <v>182.98644613030879</v>
      </c>
      <c r="AT148">
        <f t="shared" si="53"/>
        <v>634548.54141366051</v>
      </c>
      <c r="AU148">
        <f t="shared" si="54"/>
        <v>8788.7511179957637</v>
      </c>
      <c r="AV148" s="29">
        <v>174264.622326863</v>
      </c>
      <c r="AW148">
        <f t="shared" si="55"/>
        <v>1254705.2807534137</v>
      </c>
      <c r="AX148">
        <f t="shared" si="56"/>
        <v>1792436.1153620195</v>
      </c>
      <c r="AY148">
        <f t="shared" si="57"/>
        <v>14.936967628016829</v>
      </c>
      <c r="AZ148">
        <f t="shared" si="58"/>
        <v>192.73268297666749</v>
      </c>
      <c r="BA148">
        <f t="shared" si="59"/>
        <v>345461.02157799748</v>
      </c>
      <c r="BB148">
        <f t="shared" si="60"/>
        <v>4784.7733332638963</v>
      </c>
      <c r="BC148" s="29">
        <v>308628.01534156897</v>
      </c>
      <c r="BD148">
        <f t="shared" si="61"/>
        <v>2222121.7104592966</v>
      </c>
      <c r="BE148">
        <f t="shared" si="62"/>
        <v>3174459.5863704239</v>
      </c>
      <c r="BF148">
        <f t="shared" si="63"/>
        <v>26.453829886420202</v>
      </c>
      <c r="BG148">
        <f t="shared" si="64"/>
        <v>184.69260932457456</v>
      </c>
      <c r="BH148">
        <f t="shared" si="65"/>
        <v>586299.22420216317</v>
      </c>
      <c r="BI148">
        <f t="shared" si="66"/>
        <v>8120.4787748896415</v>
      </c>
      <c r="BJ148" s="29">
        <v>212918.71977656201</v>
      </c>
      <c r="BK148">
        <f t="shared" si="67"/>
        <v>1533014.7823912464</v>
      </c>
      <c r="BL148">
        <f t="shared" si="68"/>
        <v>2190021.117701781</v>
      </c>
      <c r="BM148">
        <f t="shared" si="69"/>
        <v>18.250175980848176</v>
      </c>
      <c r="BN148">
        <f t="shared" si="70"/>
        <v>190.41968846620034</v>
      </c>
      <c r="BO148">
        <f t="shared" si="71"/>
        <v>417023.138967173</v>
      </c>
      <c r="BP148">
        <f t="shared" si="72"/>
        <v>5775.9372839509333</v>
      </c>
    </row>
    <row r="149" spans="1:68" x14ac:dyDescent="0.25">
      <c r="A149">
        <v>12</v>
      </c>
      <c r="B149">
        <v>100</v>
      </c>
      <c r="C149">
        <f t="shared" si="82"/>
        <v>7.9600000000000004E-2</v>
      </c>
      <c r="D149">
        <v>0.17399999999999999</v>
      </c>
      <c r="E149">
        <f t="shared" ref="E149:E212" si="87">C149*D149*100</f>
        <v>1.38504</v>
      </c>
      <c r="F149" s="29">
        <v>499996.8</v>
      </c>
      <c r="G149">
        <f t="shared" ref="G149:G212" si="88">$E$12*F149</f>
        <v>3599976.96</v>
      </c>
      <c r="H149">
        <f t="shared" ref="H149:H212" si="89">G149*100/$E$15</f>
        <v>5142824.2285714289</v>
      </c>
      <c r="I149">
        <f t="shared" ref="I149:I212" si="90">100*H149/$E$14</f>
        <v>42.856868571428571</v>
      </c>
      <c r="J149">
        <f t="shared" ref="J149:J212" si="91">IF(I149&gt;=75,FORECAST(I149,$X$5:$X$7,$W$5:$W$7),FORECAST(I149,$X$2:$X$5,$W$2:$W$5))</f>
        <v>173.24143137466308</v>
      </c>
      <c r="K149">
        <f t="shared" ref="K149:K212" si="92">H149*J149/1000</f>
        <v>890950.2306660118</v>
      </c>
      <c r="L149">
        <f t="shared" ref="L149:L212" si="93">E149/100*K149</f>
        <v>12340.017074816531</v>
      </c>
      <c r="M149" s="7">
        <v>451294.73998722102</v>
      </c>
      <c r="N149">
        <f t="shared" ref="N149:N212" si="94">$F$12*M149</f>
        <v>3249322.1279079914</v>
      </c>
      <c r="O149">
        <f t="shared" ref="O149:O212" si="95">N149*100/$F$15</f>
        <v>4641888.7541542733</v>
      </c>
      <c r="P149">
        <f t="shared" ref="P149:P212" si="96">100*O149/$F$14</f>
        <v>38.682406284618942</v>
      </c>
      <c r="Q149">
        <f t="shared" ref="Q149:Q212" si="97">IF(P149&gt;=75,FORECAST(P149,$X$5:$X$7,$W$5:$W$7),FORECAST(P149,$X$2:$X$5,$W$2:$W$5))</f>
        <v>176.15567863149244</v>
      </c>
      <c r="R149">
        <f t="shared" ref="R149:R212" si="98">O149*Q149/1000</f>
        <v>817695.06361993891</v>
      </c>
      <c r="S149">
        <f t="shared" ref="S149:S212" si="99">E149/100*R149</f>
        <v>11325.403709161603</v>
      </c>
      <c r="T149" s="29">
        <v>426955.57470585901</v>
      </c>
      <c r="U149">
        <f t="shared" si="83"/>
        <v>3074080.1378821847</v>
      </c>
      <c r="V149">
        <f t="shared" si="84"/>
        <v>4391543.0541174067</v>
      </c>
      <c r="W149">
        <f t="shared" si="85"/>
        <v>36.596192117645053</v>
      </c>
      <c r="X149">
        <f t="shared" ref="X149:X212" si="100">IF(W149&gt;=75,FORECAST(W149,$X$5:$X$7,$W$5:$W$7),FORECAST(W149,$X$2:$X$5,$W$2:$W$5))</f>
        <v>177.61209229522893</v>
      </c>
      <c r="Y149">
        <f t="shared" ref="Y149:Y212" si="101">V149*X149/1000</f>
        <v>779991.15024637233</v>
      </c>
      <c r="Z149">
        <f t="shared" ref="Z149:Z212" si="102">E149/100*Y149</f>
        <v>10803.189427372356</v>
      </c>
      <c r="AA149" s="29">
        <v>426919.972506319</v>
      </c>
      <c r="AB149">
        <f t="shared" si="86"/>
        <v>3073823.8020454966</v>
      </c>
      <c r="AC149">
        <f t="shared" ref="AC149:AC212" si="103">AB149*100/$H$15</f>
        <v>4391176.8600649955</v>
      </c>
      <c r="AD149">
        <f t="shared" ref="AD149:AD212" si="104">100*AC149/$H$14</f>
        <v>36.593140500541629</v>
      </c>
      <c r="AE149">
        <f t="shared" ref="AE149:AE212" si="105">IF(AD149&gt;=75,FORECAST(AD149,$X$5:$X$7,$W$5:$W$7),FORECAST(AD149,$X$2:$X$5,$W$2:$W$5))</f>
        <v>177.61422266943319</v>
      </c>
      <c r="AF149">
        <f t="shared" ref="AF149:AF212" si="106">AC149*AE149/1000</f>
        <v>779935.46460444655</v>
      </c>
      <c r="AG149">
        <f t="shared" ref="AG149:AG212" si="107">E149/100*AF149</f>
        <v>10802.418158957427</v>
      </c>
      <c r="AH149" s="29">
        <v>390381.55875947903</v>
      </c>
      <c r="AI149">
        <f t="shared" ref="AI149:AI212" si="108">$I$12*AH149</f>
        <v>2810747.2230682489</v>
      </c>
      <c r="AJ149">
        <f t="shared" ref="AJ149:AJ212" si="109">AI149*100/$I$15</f>
        <v>4015353.1758117848</v>
      </c>
      <c r="AK149">
        <f t="shared" ref="AK149:AK212" si="110">100*AJ149/$I$14</f>
        <v>33.461276465098209</v>
      </c>
      <c r="AL149">
        <f t="shared" ref="AL149:AL212" si="111">IF(AK149&gt;=75,FORECAST(AK149,$X$5:$X$7,$W$5:$W$7),FORECAST(AK149,$X$2:$X$5,$W$2:$W$5))</f>
        <v>179.80061831681823</v>
      </c>
      <c r="AM149">
        <f t="shared" ref="AM149:AM212" si="112">AJ149*AL149/1000</f>
        <v>721962.98377135862</v>
      </c>
      <c r="AN149">
        <f t="shared" ref="AN149:AN212" si="113">E149/100*AM149</f>
        <v>9999.4761104268255</v>
      </c>
      <c r="AO149" s="29">
        <v>282813.05043245299</v>
      </c>
      <c r="AP149">
        <f t="shared" ref="AP149:AP212" si="114">$J$12*AO149</f>
        <v>2036253.9631136616</v>
      </c>
      <c r="AQ149">
        <f t="shared" ref="AQ149:AQ212" si="115">AP149*100/$J$15</f>
        <v>2908934.2330195168</v>
      </c>
      <c r="AR149">
        <f t="shared" ref="AR149:AR212" si="116">100*AQ149/$J$14</f>
        <v>24.241118608495974</v>
      </c>
      <c r="AS149">
        <f t="shared" ref="AS149:AS212" si="117">IF(AR149&gt;=75,FORECAST(AR149,$X$5:$X$7,$W$5:$W$7),FORECAST(AR149,$X$2:$X$5,$W$2:$W$5))</f>
        <v>186.23733229218206</v>
      </c>
      <c r="AT149">
        <f t="shared" ref="AT149:AT212" si="118">AQ149*AS149/1000</f>
        <v>541752.15137095947</v>
      </c>
      <c r="AU149">
        <f t="shared" ref="AU149:AU212" si="119">E149/100*AT149</f>
        <v>7503.4839973483377</v>
      </c>
      <c r="AV149" s="29">
        <v>65754.952801807201</v>
      </c>
      <c r="AW149">
        <f t="shared" ref="AW149:AW212" si="120">$K$12*AV149</f>
        <v>473435.66017301189</v>
      </c>
      <c r="AX149">
        <f t="shared" ref="AX149:AX212" si="121">AW149*100/$K$15</f>
        <v>676336.65739001695</v>
      </c>
      <c r="AY149">
        <f t="shared" ref="AY149:AY212" si="122">100*AX149/$K$14</f>
        <v>5.6361388115834741</v>
      </c>
      <c r="AZ149">
        <f t="shared" ref="AZ149:AZ212" si="123">IF(AY149&gt;=75,FORECAST(AY149,$X$5:$X$7,$W$5:$W$7),FORECAST(AY149,$X$2:$X$5,$W$2:$W$5))</f>
        <v>199.22571441455494</v>
      </c>
      <c r="BA149">
        <f t="shared" ref="BA149:BA212" si="124">AX149*AZ149/1000</f>
        <v>134743.65375327819</v>
      </c>
      <c r="BB149">
        <f t="shared" ref="BB149:BB212" si="125">E149/100*BA149</f>
        <v>1866.2535019444044</v>
      </c>
      <c r="BC149" s="29">
        <v>283462.331134081</v>
      </c>
      <c r="BD149">
        <f t="shared" ref="BD149:BD212" si="126">$L$12*BC149</f>
        <v>2040928.7841653833</v>
      </c>
      <c r="BE149">
        <f t="shared" ref="BE149:BE212" si="127">BD149*100/$L$15</f>
        <v>2915612.5488076904</v>
      </c>
      <c r="BF149">
        <f t="shared" ref="BF149:BF212" si="128">100*BE149/$L$14</f>
        <v>24.296771240064086</v>
      </c>
      <c r="BG149">
        <f t="shared" ref="BG149:BG212" si="129">IF(BF149&gt;=75,FORECAST(BF149,$X$5:$X$7,$W$5:$W$7),FORECAST(BF149,$X$2:$X$5,$W$2:$W$5))</f>
        <v>186.19848045504961</v>
      </c>
      <c r="BH149">
        <f t="shared" ref="BH149:BH212" si="130">BE149*BG149/1000</f>
        <v>542882.62618366606</v>
      </c>
      <c r="BI149">
        <f t="shared" ref="BI149:BI212" si="131">E149/100*BH149</f>
        <v>7519.1415256942482</v>
      </c>
      <c r="BJ149" s="29">
        <v>174983.43220603699</v>
      </c>
      <c r="BK149">
        <f t="shared" ref="BK149:BK212" si="132">$M$12*BJ149</f>
        <v>1259880.7118834665</v>
      </c>
      <c r="BL149">
        <f t="shared" ref="BL149:BL212" si="133">BK149*100/$M$15</f>
        <v>1799829.5884049521</v>
      </c>
      <c r="BM149">
        <f t="shared" ref="BM149:BM212" si="134">100*BL149/$M$14</f>
        <v>14.998579903374599</v>
      </c>
      <c r="BN149">
        <f t="shared" ref="BN149:BN212" si="135">IF(BM149&gt;=75,FORECAST(BM149,$X$5:$X$7,$W$5:$W$7),FORECAST(BM149,$X$2:$X$5,$W$2:$W$5))</f>
        <v>192.68967063349319</v>
      </c>
      <c r="BO149">
        <f t="shared" ref="BO149:BO212" si="136">BL149*BN149/1000</f>
        <v>346808.57058616582</v>
      </c>
      <c r="BP149">
        <f t="shared" ref="BP149:BP212" si="137">E149/100*BO149</f>
        <v>4803.4374260466311</v>
      </c>
    </row>
    <row r="150" spans="1:68" x14ac:dyDescent="0.25">
      <c r="A150">
        <v>12</v>
      </c>
      <c r="B150">
        <v>120</v>
      </c>
      <c r="C150">
        <f t="shared" si="82"/>
        <v>7.9600000000000004E-2</v>
      </c>
      <c r="D150">
        <v>0.153</v>
      </c>
      <c r="E150">
        <f t="shared" si="87"/>
        <v>1.2178800000000001</v>
      </c>
      <c r="F150" s="29">
        <v>499996.8</v>
      </c>
      <c r="G150">
        <f t="shared" si="88"/>
        <v>3599976.96</v>
      </c>
      <c r="H150">
        <f t="shared" si="89"/>
        <v>5142824.2285714289</v>
      </c>
      <c r="I150">
        <f t="shared" si="90"/>
        <v>42.856868571428571</v>
      </c>
      <c r="J150">
        <f t="shared" si="91"/>
        <v>173.24143137466308</v>
      </c>
      <c r="K150">
        <f t="shared" si="92"/>
        <v>890950.2306660118</v>
      </c>
      <c r="L150">
        <f t="shared" si="93"/>
        <v>10850.704669235225</v>
      </c>
      <c r="M150" s="7">
        <v>478426.742306598</v>
      </c>
      <c r="N150">
        <f t="shared" si="94"/>
        <v>3444672.5446075057</v>
      </c>
      <c r="O150">
        <f t="shared" si="95"/>
        <v>4920960.7780107222</v>
      </c>
      <c r="P150">
        <f t="shared" si="96"/>
        <v>41.008006483422683</v>
      </c>
      <c r="Q150">
        <f t="shared" si="97"/>
        <v>174.53214641723321</v>
      </c>
      <c r="R150">
        <f t="shared" si="98"/>
        <v>858865.84702122922</v>
      </c>
      <c r="S150">
        <f t="shared" si="99"/>
        <v>10459.955377702147</v>
      </c>
      <c r="T150" s="29">
        <v>467648.43505131803</v>
      </c>
      <c r="U150">
        <f t="shared" si="83"/>
        <v>3367068.73236949</v>
      </c>
      <c r="V150">
        <f t="shared" si="84"/>
        <v>4810098.1890992709</v>
      </c>
      <c r="W150">
        <f t="shared" si="85"/>
        <v>40.084151575827256</v>
      </c>
      <c r="X150">
        <f t="shared" si="100"/>
        <v>175.17710173008285</v>
      </c>
      <c r="Y150">
        <f t="shared" si="101"/>
        <v>842619.05980353034</v>
      </c>
      <c r="Z150">
        <f t="shared" si="102"/>
        <v>10262.089005535236</v>
      </c>
      <c r="AA150" s="29">
        <v>467628.26095542801</v>
      </c>
      <c r="AB150">
        <f t="shared" si="86"/>
        <v>3366923.4788790816</v>
      </c>
      <c r="AC150">
        <f t="shared" si="103"/>
        <v>4809890.6841129735</v>
      </c>
      <c r="AD150">
        <f t="shared" si="104"/>
        <v>40.08242236760811</v>
      </c>
      <c r="AE150">
        <f t="shared" si="105"/>
        <v>175.17830891317925</v>
      </c>
      <c r="AF150">
        <f t="shared" si="106"/>
        <v>842588.51610016555</v>
      </c>
      <c r="AG150">
        <f t="shared" si="107"/>
        <v>10261.717019880696</v>
      </c>
      <c r="AH150" s="29">
        <v>451443.99143314298</v>
      </c>
      <c r="AI150">
        <f t="shared" si="108"/>
        <v>3250396.7383186296</v>
      </c>
      <c r="AJ150">
        <f t="shared" si="109"/>
        <v>4643423.9118837565</v>
      </c>
      <c r="AK150">
        <f t="shared" si="110"/>
        <v>38.695199265697973</v>
      </c>
      <c r="AL150">
        <f t="shared" si="111"/>
        <v>176.14674768243725</v>
      </c>
      <c r="AM150">
        <f t="shared" si="112"/>
        <v>817924.02018918388</v>
      </c>
      <c r="AN150">
        <f t="shared" si="113"/>
        <v>9961.3330570800335</v>
      </c>
      <c r="AO150" s="29">
        <v>249838.45546287199</v>
      </c>
      <c r="AP150">
        <f t="shared" si="114"/>
        <v>1798836.8793326784</v>
      </c>
      <c r="AQ150">
        <f t="shared" si="115"/>
        <v>2569766.9704752546</v>
      </c>
      <c r="AR150">
        <f t="shared" si="116"/>
        <v>21.414724753960456</v>
      </c>
      <c r="AS150">
        <f t="shared" si="117"/>
        <v>188.21047517176345</v>
      </c>
      <c r="AT150">
        <f t="shared" si="118"/>
        <v>483657.06259385066</v>
      </c>
      <c r="AU150">
        <f t="shared" si="119"/>
        <v>5890.3626339179882</v>
      </c>
      <c r="AV150" s="29">
        <v>0</v>
      </c>
      <c r="AW150">
        <f t="shared" si="120"/>
        <v>0</v>
      </c>
      <c r="AX150">
        <f t="shared" si="121"/>
        <v>0</v>
      </c>
      <c r="AY150">
        <f t="shared" si="122"/>
        <v>0</v>
      </c>
      <c r="AZ150">
        <f t="shared" si="123"/>
        <v>203.16037735849056</v>
      </c>
      <c r="BA150">
        <f t="shared" si="124"/>
        <v>0</v>
      </c>
      <c r="BB150">
        <f t="shared" si="125"/>
        <v>0</v>
      </c>
      <c r="BC150" s="29">
        <v>314135.73488752899</v>
      </c>
      <c r="BD150">
        <f t="shared" si="126"/>
        <v>2261777.2911902089</v>
      </c>
      <c r="BE150">
        <f t="shared" si="127"/>
        <v>3231110.4159860127</v>
      </c>
      <c r="BF150">
        <f t="shared" si="128"/>
        <v>26.925920133216774</v>
      </c>
      <c r="BG150">
        <f t="shared" si="129"/>
        <v>184.36303688813169</v>
      </c>
      <c r="BH150">
        <f t="shared" si="130"/>
        <v>595697.32881205587</v>
      </c>
      <c r="BI150">
        <f t="shared" si="131"/>
        <v>7254.8786281362663</v>
      </c>
      <c r="BJ150" s="29">
        <v>220848.99878710901</v>
      </c>
      <c r="BK150">
        <f t="shared" si="132"/>
        <v>1590112.791267185</v>
      </c>
      <c r="BL150">
        <f t="shared" si="133"/>
        <v>2271589.701810264</v>
      </c>
      <c r="BM150">
        <f t="shared" si="134"/>
        <v>18.929914181752199</v>
      </c>
      <c r="BN150">
        <f t="shared" si="135"/>
        <v>189.94515425047487</v>
      </c>
      <c r="BO150">
        <f t="shared" si="136"/>
        <v>431477.4563041408</v>
      </c>
      <c r="BP150">
        <f t="shared" si="137"/>
        <v>5254.8776448368699</v>
      </c>
    </row>
    <row r="151" spans="1:68" x14ac:dyDescent="0.25">
      <c r="A151">
        <v>12</v>
      </c>
      <c r="B151">
        <v>140</v>
      </c>
      <c r="C151">
        <f t="shared" si="82"/>
        <v>7.9600000000000004E-2</v>
      </c>
      <c r="D151">
        <v>0.113</v>
      </c>
      <c r="E151">
        <f t="shared" si="87"/>
        <v>0.89948000000000006</v>
      </c>
      <c r="F151" s="29">
        <v>499996.8</v>
      </c>
      <c r="G151">
        <f t="shared" si="88"/>
        <v>3599976.96</v>
      </c>
      <c r="H151">
        <f t="shared" si="89"/>
        <v>5142824.2285714289</v>
      </c>
      <c r="I151">
        <f t="shared" si="90"/>
        <v>42.856868571428571</v>
      </c>
      <c r="J151">
        <f t="shared" si="91"/>
        <v>173.24143137466308</v>
      </c>
      <c r="K151">
        <f t="shared" si="92"/>
        <v>890950.2306660118</v>
      </c>
      <c r="L151">
        <f t="shared" si="93"/>
        <v>8013.9191347946435</v>
      </c>
      <c r="M151" s="7">
        <v>503431.21242313099</v>
      </c>
      <c r="N151">
        <f t="shared" si="94"/>
        <v>3624704.7294465434</v>
      </c>
      <c r="O151">
        <f t="shared" si="95"/>
        <v>5178149.6134950621</v>
      </c>
      <c r="P151">
        <f t="shared" si="96"/>
        <v>43.151246779125515</v>
      </c>
      <c r="Q151">
        <f t="shared" si="97"/>
        <v>173.03592205985578</v>
      </c>
      <c r="R151">
        <f t="shared" si="98"/>
        <v>896005.89293500385</v>
      </c>
      <c r="S151">
        <f t="shared" si="99"/>
        <v>8059.3938057717733</v>
      </c>
      <c r="T151" s="29">
        <v>505145.77936521801</v>
      </c>
      <c r="U151">
        <f t="shared" si="83"/>
        <v>3637049.6114295698</v>
      </c>
      <c r="V151">
        <f t="shared" si="84"/>
        <v>5195785.1591850994</v>
      </c>
      <c r="W151">
        <f t="shared" si="85"/>
        <v>43.29820965987583</v>
      </c>
      <c r="X151">
        <f t="shared" si="100"/>
        <v>172.9333253317848</v>
      </c>
      <c r="Y151">
        <f t="shared" si="101"/>
        <v>898524.40528741607</v>
      </c>
      <c r="Z151">
        <f t="shared" si="102"/>
        <v>8082.0473206792503</v>
      </c>
      <c r="AA151" s="29">
        <v>505153.69936889299</v>
      </c>
      <c r="AB151">
        <f t="shared" si="86"/>
        <v>3637106.6354560298</v>
      </c>
      <c r="AC151">
        <f t="shared" si="103"/>
        <v>5195866.622080043</v>
      </c>
      <c r="AD151">
        <f t="shared" si="104"/>
        <v>43.298888517333694</v>
      </c>
      <c r="AE151">
        <f t="shared" si="105"/>
        <v>172.93285141242742</v>
      </c>
      <c r="AF151">
        <f t="shared" si="106"/>
        <v>898536.03051495925</v>
      </c>
      <c r="AG151">
        <f t="shared" si="107"/>
        <v>8082.1518872759561</v>
      </c>
      <c r="AH151" s="29">
        <v>507732.14905333897</v>
      </c>
      <c r="AI151">
        <f t="shared" si="108"/>
        <v>3655671.4731840407</v>
      </c>
      <c r="AJ151">
        <f t="shared" si="109"/>
        <v>5222387.8188343439</v>
      </c>
      <c r="AK151">
        <f t="shared" si="110"/>
        <v>43.519898490286202</v>
      </c>
      <c r="AL151">
        <f t="shared" si="111"/>
        <v>172.77856143130964</v>
      </c>
      <c r="AM151">
        <f t="shared" si="112"/>
        <v>902316.65457459283</v>
      </c>
      <c r="AN151">
        <f t="shared" si="113"/>
        <v>8116.1578445675486</v>
      </c>
      <c r="AO151" s="29">
        <v>247986.82203783101</v>
      </c>
      <c r="AP151">
        <f t="shared" si="114"/>
        <v>1785505.1186723833</v>
      </c>
      <c r="AQ151">
        <f t="shared" si="115"/>
        <v>2550721.5981034045</v>
      </c>
      <c r="AR151">
        <f t="shared" si="116"/>
        <v>21.256013317528371</v>
      </c>
      <c r="AS151">
        <f t="shared" si="117"/>
        <v>188.32127372172548</v>
      </c>
      <c r="AT151">
        <f t="shared" si="118"/>
        <v>480355.14026434824</v>
      </c>
      <c r="AU151">
        <f t="shared" si="119"/>
        <v>4320.6984156497601</v>
      </c>
      <c r="AV151" s="29">
        <v>0</v>
      </c>
      <c r="AW151">
        <f t="shared" si="120"/>
        <v>0</v>
      </c>
      <c r="AX151">
        <f t="shared" si="121"/>
        <v>0</v>
      </c>
      <c r="AY151">
        <f t="shared" si="122"/>
        <v>0</v>
      </c>
      <c r="AZ151">
        <f t="shared" si="123"/>
        <v>203.16037735849056</v>
      </c>
      <c r="BA151">
        <f t="shared" si="124"/>
        <v>0</v>
      </c>
      <c r="BB151">
        <f t="shared" si="125"/>
        <v>0</v>
      </c>
      <c r="BC151" s="29">
        <v>379071.32725443097</v>
      </c>
      <c r="BD151">
        <f t="shared" si="126"/>
        <v>2729313.5562319029</v>
      </c>
      <c r="BE151">
        <f t="shared" si="127"/>
        <v>3899019.3660455756</v>
      </c>
      <c r="BF151">
        <f t="shared" si="128"/>
        <v>32.491828050379794</v>
      </c>
      <c r="BG151">
        <f t="shared" si="129"/>
        <v>180.47740305916881</v>
      </c>
      <c r="BH151">
        <f t="shared" si="130"/>
        <v>703684.88966131222</v>
      </c>
      <c r="BI151">
        <f t="shared" si="131"/>
        <v>6329.5048455255719</v>
      </c>
      <c r="BJ151" s="29">
        <v>318289.65556143603</v>
      </c>
      <c r="BK151">
        <f t="shared" si="132"/>
        <v>2291685.5200423393</v>
      </c>
      <c r="BL151">
        <f t="shared" si="133"/>
        <v>3273836.4572033416</v>
      </c>
      <c r="BM151">
        <f t="shared" si="134"/>
        <v>27.281970476694514</v>
      </c>
      <c r="BN151">
        <f t="shared" si="135"/>
        <v>184.11447344079818</v>
      </c>
      <c r="BO151">
        <f t="shared" si="136"/>
        <v>602760.67544928147</v>
      </c>
      <c r="BP151">
        <f t="shared" si="137"/>
        <v>5421.7117235311971</v>
      </c>
    </row>
    <row r="152" spans="1:68" x14ac:dyDescent="0.25">
      <c r="A152">
        <v>12</v>
      </c>
      <c r="B152">
        <v>160</v>
      </c>
      <c r="C152">
        <f t="shared" si="82"/>
        <v>7.9600000000000004E-2</v>
      </c>
      <c r="D152">
        <v>0.06</v>
      </c>
      <c r="E152">
        <f t="shared" si="87"/>
        <v>0.47759999999999997</v>
      </c>
      <c r="F152" s="29">
        <v>499996.8</v>
      </c>
      <c r="G152">
        <f t="shared" si="88"/>
        <v>3599976.96</v>
      </c>
      <c r="H152">
        <f t="shared" si="89"/>
        <v>5142824.2285714289</v>
      </c>
      <c r="I152">
        <f t="shared" si="90"/>
        <v>42.856868571428571</v>
      </c>
      <c r="J152">
        <f t="shared" si="91"/>
        <v>173.24143137466308</v>
      </c>
      <c r="K152">
        <f t="shared" si="92"/>
        <v>890950.2306660118</v>
      </c>
      <c r="L152">
        <f t="shared" si="93"/>
        <v>4255.1783016608724</v>
      </c>
      <c r="M152" s="7">
        <v>504739.12232451502</v>
      </c>
      <c r="N152">
        <f t="shared" si="94"/>
        <v>3634121.6807365082</v>
      </c>
      <c r="O152">
        <f t="shared" si="95"/>
        <v>5191602.4010521546</v>
      </c>
      <c r="P152">
        <f t="shared" si="96"/>
        <v>43.263353342101283</v>
      </c>
      <c r="Q152">
        <f t="shared" si="97"/>
        <v>172.95765898758967</v>
      </c>
      <c r="R152">
        <f t="shared" si="98"/>
        <v>897927.39768033032</v>
      </c>
      <c r="S152">
        <f t="shared" si="99"/>
        <v>4288.5012513212578</v>
      </c>
      <c r="T152" s="29">
        <v>507120.25303251401</v>
      </c>
      <c r="U152">
        <f t="shared" si="83"/>
        <v>3651265.8218341009</v>
      </c>
      <c r="V152">
        <f t="shared" si="84"/>
        <v>5216094.0311915725</v>
      </c>
      <c r="W152">
        <f t="shared" si="85"/>
        <v>43.46745025992977</v>
      </c>
      <c r="X152">
        <f t="shared" si="100"/>
        <v>172.81517623363393</v>
      </c>
      <c r="Y152">
        <f t="shared" si="101"/>
        <v>901420.20925157762</v>
      </c>
      <c r="Z152">
        <f t="shared" si="102"/>
        <v>4305.1829193855347</v>
      </c>
      <c r="AA152" s="29">
        <v>507090.30421269598</v>
      </c>
      <c r="AB152">
        <f t="shared" si="86"/>
        <v>3651050.1903314111</v>
      </c>
      <c r="AC152">
        <f t="shared" si="103"/>
        <v>5215785.9861877309</v>
      </c>
      <c r="AD152">
        <f t="shared" si="104"/>
        <v>43.464883218231094</v>
      </c>
      <c r="AE152">
        <f t="shared" si="105"/>
        <v>172.81696831934809</v>
      </c>
      <c r="AF152">
        <f t="shared" si="106"/>
        <v>901376.32153550477</v>
      </c>
      <c r="AG152">
        <f t="shared" si="107"/>
        <v>4304.9733116535708</v>
      </c>
      <c r="AH152" s="29">
        <v>510637.05631904502</v>
      </c>
      <c r="AI152">
        <f t="shared" si="108"/>
        <v>3676586.8054971243</v>
      </c>
      <c r="AJ152">
        <f t="shared" si="109"/>
        <v>5252266.8649958922</v>
      </c>
      <c r="AK152">
        <f t="shared" si="110"/>
        <v>43.76889054163243</v>
      </c>
      <c r="AL152">
        <f t="shared" si="111"/>
        <v>172.60473679169056</v>
      </c>
      <c r="AM152">
        <f t="shared" si="112"/>
        <v>906566.13979233371</v>
      </c>
      <c r="AN152">
        <f t="shared" si="113"/>
        <v>4329.7598836481857</v>
      </c>
      <c r="AO152" s="29">
        <v>279874.32492202299</v>
      </c>
      <c r="AP152">
        <f t="shared" si="114"/>
        <v>2015095.1394385656</v>
      </c>
      <c r="AQ152">
        <f t="shared" si="115"/>
        <v>2878707.342055094</v>
      </c>
      <c r="AR152">
        <f t="shared" si="116"/>
        <v>23.98922785045912</v>
      </c>
      <c r="AS152">
        <f t="shared" si="117"/>
        <v>186.41318055722667</v>
      </c>
      <c r="AT152">
        <f t="shared" si="118"/>
        <v>536628.99152593024</v>
      </c>
      <c r="AU152">
        <f t="shared" si="119"/>
        <v>2562.9400635278425</v>
      </c>
      <c r="AV152" s="29">
        <v>60338.242702722397</v>
      </c>
      <c r="AW152">
        <f t="shared" si="120"/>
        <v>434435.34745960124</v>
      </c>
      <c r="AX152">
        <f t="shared" si="121"/>
        <v>620621.9249422875</v>
      </c>
      <c r="AY152">
        <f t="shared" si="122"/>
        <v>5.1718493745190628</v>
      </c>
      <c r="AZ152">
        <f t="shared" si="123"/>
        <v>199.54984100269425</v>
      </c>
      <c r="BA152">
        <f t="shared" si="124"/>
        <v>123845.00644501952</v>
      </c>
      <c r="BB152">
        <f t="shared" si="125"/>
        <v>591.48375078141316</v>
      </c>
      <c r="BC152" s="29">
        <v>442836.124577187</v>
      </c>
      <c r="BD152">
        <f t="shared" si="126"/>
        <v>3188420.0969557464</v>
      </c>
      <c r="BE152">
        <f t="shared" si="127"/>
        <v>4554885.8527939236</v>
      </c>
      <c r="BF152">
        <f t="shared" si="128"/>
        <v>37.957382106616031</v>
      </c>
      <c r="BG152">
        <f t="shared" si="129"/>
        <v>176.66182758594729</v>
      </c>
      <c r="BH152">
        <f t="shared" si="130"/>
        <v>804674.45919995056</v>
      </c>
      <c r="BI152">
        <f t="shared" si="131"/>
        <v>3843.1252171389638</v>
      </c>
      <c r="BJ152" s="29">
        <v>414086.98281500902</v>
      </c>
      <c r="BK152">
        <f t="shared" si="132"/>
        <v>2981426.276268065</v>
      </c>
      <c r="BL152">
        <f t="shared" si="133"/>
        <v>4259180.3946686639</v>
      </c>
      <c r="BM152">
        <f t="shared" si="134"/>
        <v>35.493169955572199</v>
      </c>
      <c r="BN152">
        <f t="shared" si="135"/>
        <v>178.38212663478922</v>
      </c>
      <c r="BO152">
        <f t="shared" si="136"/>
        <v>759761.65652219718</v>
      </c>
      <c r="BP152">
        <f t="shared" si="137"/>
        <v>3628.6216715500136</v>
      </c>
    </row>
    <row r="153" spans="1:68" x14ac:dyDescent="0.25">
      <c r="A153">
        <v>12</v>
      </c>
      <c r="B153">
        <v>180</v>
      </c>
      <c r="C153">
        <f t="shared" si="82"/>
        <v>7.9600000000000004E-2</v>
      </c>
      <c r="D153">
        <v>0</v>
      </c>
      <c r="E153">
        <f t="shared" si="87"/>
        <v>0</v>
      </c>
      <c r="F153" s="29">
        <v>499996.8</v>
      </c>
      <c r="G153">
        <f t="shared" si="88"/>
        <v>3599976.96</v>
      </c>
      <c r="H153">
        <f t="shared" si="89"/>
        <v>5142824.2285714289</v>
      </c>
      <c r="I153">
        <f t="shared" si="90"/>
        <v>42.856868571428571</v>
      </c>
      <c r="J153">
        <f t="shared" si="91"/>
        <v>173.24143137466308</v>
      </c>
      <c r="K153">
        <f t="shared" si="92"/>
        <v>890950.2306660118</v>
      </c>
      <c r="L153">
        <f t="shared" si="93"/>
        <v>0</v>
      </c>
      <c r="M153" s="7">
        <v>480578.97595292103</v>
      </c>
      <c r="N153">
        <f t="shared" si="94"/>
        <v>3460168.6268610316</v>
      </c>
      <c r="O153">
        <f t="shared" si="95"/>
        <v>4943098.0383729022</v>
      </c>
      <c r="P153">
        <f t="shared" si="96"/>
        <v>41.192483653107516</v>
      </c>
      <c r="Q153">
        <f t="shared" si="97"/>
        <v>174.40336046858533</v>
      </c>
      <c r="R153">
        <f t="shared" si="98"/>
        <v>862092.90901790629</v>
      </c>
      <c r="S153">
        <f t="shared" si="99"/>
        <v>0</v>
      </c>
      <c r="T153" s="29">
        <v>470905.47418192902</v>
      </c>
      <c r="U153">
        <f t="shared" si="83"/>
        <v>3390519.414109889</v>
      </c>
      <c r="V153">
        <f t="shared" si="84"/>
        <v>4843599.1630141269</v>
      </c>
      <c r="W153">
        <f t="shared" si="85"/>
        <v>40.363326358451062</v>
      </c>
      <c r="X153">
        <f t="shared" si="100"/>
        <v>174.98220612711907</v>
      </c>
      <c r="Y153">
        <f t="shared" si="101"/>
        <v>847543.66713967931</v>
      </c>
      <c r="Z153">
        <f t="shared" si="102"/>
        <v>0</v>
      </c>
      <c r="AA153" s="29">
        <v>470799.18489600002</v>
      </c>
      <c r="AB153">
        <f t="shared" si="86"/>
        <v>3389754.1312512001</v>
      </c>
      <c r="AC153">
        <f t="shared" si="103"/>
        <v>4842505.9017874282</v>
      </c>
      <c r="AD153">
        <f t="shared" si="104"/>
        <v>40.35421584822857</v>
      </c>
      <c r="AE153">
        <f t="shared" si="105"/>
        <v>174.98856629463288</v>
      </c>
      <c r="AF153">
        <f t="shared" si="106"/>
        <v>847383.16502708034</v>
      </c>
      <c r="AG153">
        <f t="shared" si="107"/>
        <v>0</v>
      </c>
      <c r="AH153" s="29">
        <v>456200.37734399998</v>
      </c>
      <c r="AI153">
        <f t="shared" si="108"/>
        <v>3284642.7168767997</v>
      </c>
      <c r="AJ153">
        <f t="shared" si="109"/>
        <v>4692346.7383954274</v>
      </c>
      <c r="AK153">
        <f t="shared" si="110"/>
        <v>39.102889486628563</v>
      </c>
      <c r="AL153">
        <f t="shared" si="111"/>
        <v>175.86213375461779</v>
      </c>
      <c r="AM153">
        <f t="shared" si="112"/>
        <v>825206.10973074113</v>
      </c>
      <c r="AN153">
        <f t="shared" si="113"/>
        <v>0</v>
      </c>
      <c r="AO153" s="29">
        <v>340171.07690135698</v>
      </c>
      <c r="AP153">
        <f t="shared" si="114"/>
        <v>2449231.7536897701</v>
      </c>
      <c r="AQ153">
        <f t="shared" si="115"/>
        <v>3498902.5052711</v>
      </c>
      <c r="AR153">
        <f t="shared" si="116"/>
        <v>29.157520877259167</v>
      </c>
      <c r="AS153">
        <f t="shared" si="117"/>
        <v>182.80512693474361</v>
      </c>
      <c r="AT153">
        <f t="shared" si="118"/>
        <v>639617.31660837587</v>
      </c>
      <c r="AU153">
        <f t="shared" si="119"/>
        <v>0</v>
      </c>
      <c r="AV153" s="29">
        <v>180957.56713156999</v>
      </c>
      <c r="AW153">
        <f t="shared" si="120"/>
        <v>1302894.4833473039</v>
      </c>
      <c r="AX153">
        <f t="shared" si="121"/>
        <v>1861277.8333532913</v>
      </c>
      <c r="AY153">
        <f t="shared" si="122"/>
        <v>15.510648611277427</v>
      </c>
      <c r="AZ153">
        <f t="shared" si="123"/>
        <v>192.33218870533463</v>
      </c>
      <c r="BA153">
        <f t="shared" si="124"/>
        <v>357983.63947756158</v>
      </c>
      <c r="BB153">
        <f t="shared" si="125"/>
        <v>0</v>
      </c>
      <c r="BC153" s="29">
        <v>483853.507907469</v>
      </c>
      <c r="BD153">
        <f t="shared" si="126"/>
        <v>3483745.2569337767</v>
      </c>
      <c r="BE153">
        <f t="shared" si="127"/>
        <v>4976778.9384768242</v>
      </c>
      <c r="BF153">
        <f t="shared" si="128"/>
        <v>41.473157820640203</v>
      </c>
      <c r="BG153">
        <f t="shared" si="129"/>
        <v>174.20741812521345</v>
      </c>
      <c r="BH153">
        <f t="shared" si="130"/>
        <v>866991.80945198808</v>
      </c>
      <c r="BI153">
        <f t="shared" si="131"/>
        <v>0</v>
      </c>
      <c r="BJ153" s="29">
        <v>475722.537095087</v>
      </c>
      <c r="BK153">
        <f t="shared" si="132"/>
        <v>3425202.2670846265</v>
      </c>
      <c r="BL153">
        <f t="shared" si="133"/>
        <v>4893146.095835181</v>
      </c>
      <c r="BM153">
        <f t="shared" si="134"/>
        <v>40.776217465293172</v>
      </c>
      <c r="BN153">
        <f t="shared" si="135"/>
        <v>174.69396139215382</v>
      </c>
      <c r="BO153">
        <f t="shared" si="136"/>
        <v>854803.07515199936</v>
      </c>
      <c r="BP153">
        <f t="shared" si="137"/>
        <v>0</v>
      </c>
    </row>
    <row r="154" spans="1:68" x14ac:dyDescent="0.25">
      <c r="A154">
        <v>14</v>
      </c>
      <c r="B154">
        <v>0</v>
      </c>
      <c r="C154">
        <f>$AB$9</f>
        <v>4.1700000000000001E-2</v>
      </c>
      <c r="D154" cm="1">
        <f t="array" ref="D154:D163">$AD$2:$AD$11</f>
        <v>0</v>
      </c>
      <c r="E154">
        <f t="shared" si="87"/>
        <v>0</v>
      </c>
      <c r="F154" s="29">
        <v>499996.8</v>
      </c>
      <c r="G154">
        <f t="shared" si="88"/>
        <v>3599976.96</v>
      </c>
      <c r="H154">
        <f t="shared" si="89"/>
        <v>5142824.2285714289</v>
      </c>
      <c r="I154">
        <f t="shared" si="90"/>
        <v>42.856868571428571</v>
      </c>
      <c r="J154">
        <f t="shared" si="91"/>
        <v>173.24143137466308</v>
      </c>
      <c r="K154">
        <f t="shared" si="92"/>
        <v>890950.2306660118</v>
      </c>
      <c r="L154">
        <f t="shared" si="93"/>
        <v>0</v>
      </c>
      <c r="M154" s="7">
        <v>502436.28305035399</v>
      </c>
      <c r="N154">
        <f t="shared" si="94"/>
        <v>3617541.2379625486</v>
      </c>
      <c r="O154">
        <f t="shared" si="95"/>
        <v>5167916.0542322127</v>
      </c>
      <c r="P154">
        <f t="shared" si="96"/>
        <v>43.065967118601776</v>
      </c>
      <c r="Q154">
        <f t="shared" si="97"/>
        <v>173.09545691720254</v>
      </c>
      <c r="R154">
        <f t="shared" si="98"/>
        <v>894542.79071707127</v>
      </c>
      <c r="S154">
        <f t="shared" si="99"/>
        <v>0</v>
      </c>
      <c r="T154" s="29">
        <v>503654.45009156503</v>
      </c>
      <c r="U154">
        <f t="shared" si="83"/>
        <v>3626312.0406592684</v>
      </c>
      <c r="V154">
        <f t="shared" si="84"/>
        <v>5180445.7723703831</v>
      </c>
      <c r="W154">
        <f t="shared" si="85"/>
        <v>43.170381436419859</v>
      </c>
      <c r="X154">
        <f t="shared" si="100"/>
        <v>173.0225639028767</v>
      </c>
      <c r="Y154">
        <f t="shared" si="101"/>
        <v>896334.00969534204</v>
      </c>
      <c r="Z154">
        <f t="shared" si="102"/>
        <v>0</v>
      </c>
      <c r="AA154" s="29">
        <v>503659.17446399998</v>
      </c>
      <c r="AB154">
        <f t="shared" si="86"/>
        <v>3626346.0561408</v>
      </c>
      <c r="AC154">
        <f t="shared" si="103"/>
        <v>5180494.3659154288</v>
      </c>
      <c r="AD154">
        <f t="shared" si="104"/>
        <v>43.170786382628577</v>
      </c>
      <c r="AE154">
        <f t="shared" si="105"/>
        <v>173.02228120458005</v>
      </c>
      <c r="AF154">
        <f t="shared" si="106"/>
        <v>896340.95295816194</v>
      </c>
      <c r="AG154">
        <f t="shared" si="107"/>
        <v>0</v>
      </c>
      <c r="AH154" s="29">
        <v>505490.36169599998</v>
      </c>
      <c r="AI154">
        <f t="shared" si="108"/>
        <v>3639530.6042112</v>
      </c>
      <c r="AJ154">
        <f t="shared" si="109"/>
        <v>5199329.4345874283</v>
      </c>
      <c r="AK154">
        <f t="shared" si="110"/>
        <v>43.32774528822857</v>
      </c>
      <c r="AL154">
        <f t="shared" si="111"/>
        <v>172.91270611953854</v>
      </c>
      <c r="AM154">
        <f t="shared" si="112"/>
        <v>899030.12254148244</v>
      </c>
      <c r="AN154">
        <f t="shared" si="113"/>
        <v>0</v>
      </c>
      <c r="AO154" s="29">
        <v>520069.17216131999</v>
      </c>
      <c r="AP154">
        <f t="shared" si="114"/>
        <v>3744498.039561504</v>
      </c>
      <c r="AQ154">
        <f t="shared" si="115"/>
        <v>5349282.9136592913</v>
      </c>
      <c r="AR154">
        <f t="shared" si="116"/>
        <v>44.577357613827431</v>
      </c>
      <c r="AS154">
        <f t="shared" si="117"/>
        <v>172.04033525072424</v>
      </c>
      <c r="AT154">
        <f t="shared" si="118"/>
        <v>920292.42581691546</v>
      </c>
      <c r="AU154">
        <f t="shared" si="119"/>
        <v>0</v>
      </c>
      <c r="AV154" s="29">
        <v>540114.35936717899</v>
      </c>
      <c r="AW154">
        <f t="shared" si="120"/>
        <v>3888823.3874436887</v>
      </c>
      <c r="AX154">
        <f t="shared" si="121"/>
        <v>5555461.9820624124</v>
      </c>
      <c r="AY154">
        <f t="shared" si="122"/>
        <v>46.295516517186769</v>
      </c>
      <c r="AZ154">
        <f t="shared" si="123"/>
        <v>170.84086582762433</v>
      </c>
      <c r="BA154">
        <f t="shared" si="124"/>
        <v>949099.93508799258</v>
      </c>
      <c r="BB154">
        <f t="shared" si="125"/>
        <v>0</v>
      </c>
      <c r="BC154" s="29">
        <v>502024.92095522402</v>
      </c>
      <c r="BD154">
        <f t="shared" si="126"/>
        <v>3614579.4308776129</v>
      </c>
      <c r="BE154">
        <f t="shared" si="127"/>
        <v>5163684.9012537329</v>
      </c>
      <c r="BF154">
        <f t="shared" si="128"/>
        <v>43.030707510447776</v>
      </c>
      <c r="BG154">
        <f t="shared" si="129"/>
        <v>173.12007211534777</v>
      </c>
      <c r="BH154">
        <f t="shared" si="130"/>
        <v>893937.50248597865</v>
      </c>
      <c r="BI154">
        <f t="shared" si="131"/>
        <v>0</v>
      </c>
      <c r="BJ154" s="29">
        <v>503041.61856749898</v>
      </c>
      <c r="BK154">
        <f t="shared" si="132"/>
        <v>3621899.6536859926</v>
      </c>
      <c r="BL154">
        <f t="shared" si="133"/>
        <v>5174142.3624085607</v>
      </c>
      <c r="BM154">
        <f t="shared" si="134"/>
        <v>43.117853020071337</v>
      </c>
      <c r="BN154">
        <f t="shared" si="135"/>
        <v>173.05923468410114</v>
      </c>
      <c r="BO154">
        <f t="shared" si="136"/>
        <v>895433.11738501268</v>
      </c>
      <c r="BP154">
        <f t="shared" si="137"/>
        <v>0</v>
      </c>
    </row>
    <row r="155" spans="1:68" x14ac:dyDescent="0.25">
      <c r="A155">
        <v>14</v>
      </c>
      <c r="B155">
        <v>20</v>
      </c>
      <c r="C155">
        <f t="shared" ref="C155:C163" si="138">$AB$9</f>
        <v>4.1700000000000001E-2</v>
      </c>
      <c r="D155">
        <v>0.06</v>
      </c>
      <c r="E155">
        <f t="shared" si="87"/>
        <v>0.25019999999999998</v>
      </c>
      <c r="F155" s="29">
        <v>499996.8</v>
      </c>
      <c r="G155">
        <f t="shared" si="88"/>
        <v>3599976.96</v>
      </c>
      <c r="H155">
        <f t="shared" si="89"/>
        <v>5142824.2285714289</v>
      </c>
      <c r="I155">
        <f t="shared" si="90"/>
        <v>42.856868571428571</v>
      </c>
      <c r="J155">
        <f t="shared" si="91"/>
        <v>173.24143137466308</v>
      </c>
      <c r="K155">
        <f t="shared" si="92"/>
        <v>890950.2306660118</v>
      </c>
      <c r="L155">
        <f t="shared" si="93"/>
        <v>2229.1574771263613</v>
      </c>
      <c r="M155" s="7">
        <v>510422.40673612797</v>
      </c>
      <c r="N155">
        <f t="shared" si="94"/>
        <v>3675041.3285001214</v>
      </c>
      <c r="O155">
        <f t="shared" si="95"/>
        <v>5250059.0407144586</v>
      </c>
      <c r="P155">
        <f t="shared" si="96"/>
        <v>43.750492005953824</v>
      </c>
      <c r="Q155">
        <f t="shared" si="97"/>
        <v>172.61758105244732</v>
      </c>
      <c r="R155">
        <f t="shared" si="98"/>
        <v>906252.49199066183</v>
      </c>
      <c r="S155">
        <f t="shared" si="99"/>
        <v>2267.443734960636</v>
      </c>
      <c r="T155" s="29">
        <v>515635.10802823899</v>
      </c>
      <c r="U155">
        <f t="shared" si="83"/>
        <v>3712572.7778033209</v>
      </c>
      <c r="V155">
        <f t="shared" si="84"/>
        <v>5303675.3968618866</v>
      </c>
      <c r="W155">
        <f t="shared" si="85"/>
        <v>44.197294973849054</v>
      </c>
      <c r="X155">
        <f t="shared" si="100"/>
        <v>172.30566199938841</v>
      </c>
      <c r="Y155">
        <f t="shared" si="101"/>
        <v>913853.30028615636</v>
      </c>
      <c r="Z155">
        <f t="shared" si="102"/>
        <v>2286.4609573159632</v>
      </c>
      <c r="AA155" s="29">
        <v>515635.41399720398</v>
      </c>
      <c r="AB155">
        <f t="shared" si="86"/>
        <v>3712574.9807798686</v>
      </c>
      <c r="AC155">
        <f t="shared" si="103"/>
        <v>5303678.5439712405</v>
      </c>
      <c r="AD155">
        <f t="shared" si="104"/>
        <v>44.197321199760339</v>
      </c>
      <c r="AE155">
        <f t="shared" si="105"/>
        <v>172.30564369073335</v>
      </c>
      <c r="AF155">
        <f t="shared" si="106"/>
        <v>913853.74544769595</v>
      </c>
      <c r="AG155">
        <f t="shared" si="107"/>
        <v>2286.4620711101352</v>
      </c>
      <c r="AH155" s="29">
        <v>523454.72099580598</v>
      </c>
      <c r="AI155">
        <f t="shared" si="108"/>
        <v>3768873.9911698033</v>
      </c>
      <c r="AJ155">
        <f t="shared" si="109"/>
        <v>5384105.7016711477</v>
      </c>
      <c r="AK155">
        <f t="shared" si="110"/>
        <v>44.867547513926226</v>
      </c>
      <c r="AL155">
        <f t="shared" si="111"/>
        <v>171.83774984876848</v>
      </c>
      <c r="AM155">
        <f t="shared" si="112"/>
        <v>925192.6087230948</v>
      </c>
      <c r="AN155">
        <f t="shared" si="113"/>
        <v>2314.8319070251832</v>
      </c>
      <c r="AO155" s="29">
        <v>487469.00779441302</v>
      </c>
      <c r="AP155">
        <f t="shared" si="114"/>
        <v>3509776.8561197738</v>
      </c>
      <c r="AQ155">
        <f t="shared" si="115"/>
        <v>5013966.9373139627</v>
      </c>
      <c r="AR155">
        <f t="shared" si="116"/>
        <v>41.783057810949686</v>
      </c>
      <c r="AS155">
        <f t="shared" si="117"/>
        <v>173.99107284895965</v>
      </c>
      <c r="AT155">
        <f t="shared" si="118"/>
        <v>872385.4866524688</v>
      </c>
      <c r="AU155">
        <f t="shared" si="119"/>
        <v>2182.7084876044769</v>
      </c>
      <c r="AV155" s="29">
        <v>474892.76627681399</v>
      </c>
      <c r="AW155">
        <f t="shared" si="120"/>
        <v>3419227.9171930607</v>
      </c>
      <c r="AX155">
        <f t="shared" si="121"/>
        <v>4884611.3102758005</v>
      </c>
      <c r="AY155">
        <f t="shared" si="122"/>
        <v>40.705094252298338</v>
      </c>
      <c r="AZ155">
        <f t="shared" si="123"/>
        <v>174.7436134465087</v>
      </c>
      <c r="BA155">
        <f t="shared" si="124"/>
        <v>853554.63063927891</v>
      </c>
      <c r="BB155">
        <f t="shared" si="125"/>
        <v>2135.593685859476</v>
      </c>
      <c r="BC155" s="29">
        <v>489474.24798450898</v>
      </c>
      <c r="BD155">
        <f t="shared" si="126"/>
        <v>3524214.5854884647</v>
      </c>
      <c r="BE155">
        <f t="shared" si="127"/>
        <v>5034592.2649835208</v>
      </c>
      <c r="BF155">
        <f t="shared" si="128"/>
        <v>41.954935541529345</v>
      </c>
      <c r="BG155">
        <f t="shared" si="129"/>
        <v>173.87108273515875</v>
      </c>
      <c r="BH155">
        <f t="shared" si="130"/>
        <v>875370.00824274006</v>
      </c>
      <c r="BI155">
        <f t="shared" si="131"/>
        <v>2190.1757606233355</v>
      </c>
      <c r="BJ155" s="29">
        <v>484221.38055229798</v>
      </c>
      <c r="BK155">
        <f t="shared" si="132"/>
        <v>3486393.9399765455</v>
      </c>
      <c r="BL155">
        <f t="shared" si="133"/>
        <v>4980562.7713950649</v>
      </c>
      <c r="BM155">
        <f t="shared" si="134"/>
        <v>41.504689761625535</v>
      </c>
      <c r="BN155">
        <f t="shared" si="135"/>
        <v>174.18540526075199</v>
      </c>
      <c r="BO155">
        <f t="shared" si="136"/>
        <v>867541.34476206347</v>
      </c>
      <c r="BP155">
        <f t="shared" si="137"/>
        <v>2170.5884445946826</v>
      </c>
    </row>
    <row r="156" spans="1:68" x14ac:dyDescent="0.25">
      <c r="A156">
        <v>14</v>
      </c>
      <c r="B156">
        <v>40</v>
      </c>
      <c r="C156">
        <f t="shared" si="138"/>
        <v>4.1700000000000001E-2</v>
      </c>
      <c r="D156">
        <v>0.113</v>
      </c>
      <c r="E156">
        <f t="shared" si="87"/>
        <v>0.47121000000000002</v>
      </c>
      <c r="F156" s="29">
        <v>499996.8</v>
      </c>
      <c r="G156">
        <f t="shared" si="88"/>
        <v>3599976.96</v>
      </c>
      <c r="H156">
        <f t="shared" si="89"/>
        <v>5142824.2285714289</v>
      </c>
      <c r="I156">
        <f t="shared" si="90"/>
        <v>42.856868571428571</v>
      </c>
      <c r="J156">
        <f t="shared" si="91"/>
        <v>173.24143137466308</v>
      </c>
      <c r="K156">
        <f t="shared" si="92"/>
        <v>890950.2306660118</v>
      </c>
      <c r="L156">
        <f t="shared" si="93"/>
        <v>4198.2465819213148</v>
      </c>
      <c r="M156" s="7">
        <v>491563.02048769302</v>
      </c>
      <c r="N156">
        <f t="shared" si="94"/>
        <v>3539253.7475113897</v>
      </c>
      <c r="O156">
        <f t="shared" si="95"/>
        <v>5056076.7821591282</v>
      </c>
      <c r="P156">
        <f t="shared" si="96"/>
        <v>42.133973184659403</v>
      </c>
      <c r="Q156">
        <f t="shared" si="97"/>
        <v>173.74609419184156</v>
      </c>
      <c r="R156">
        <f t="shared" si="98"/>
        <v>878473.59283420315</v>
      </c>
      <c r="S156">
        <f t="shared" si="99"/>
        <v>4139.4554167940487</v>
      </c>
      <c r="T156" s="29">
        <v>487345.26848765003</v>
      </c>
      <c r="U156">
        <f t="shared" si="83"/>
        <v>3508885.9331110804</v>
      </c>
      <c r="V156">
        <f t="shared" si="84"/>
        <v>5012694.1901586866</v>
      </c>
      <c r="W156">
        <f t="shared" si="85"/>
        <v>41.77245158465572</v>
      </c>
      <c r="X156">
        <f t="shared" si="100"/>
        <v>173.99847719561771</v>
      </c>
      <c r="Y156">
        <f t="shared" si="101"/>
        <v>872201.15573493158</v>
      </c>
      <c r="Z156">
        <f t="shared" si="102"/>
        <v>4109.8990659385718</v>
      </c>
      <c r="AA156" s="29">
        <v>487347.854909054</v>
      </c>
      <c r="AB156">
        <f t="shared" si="86"/>
        <v>3508904.5553451888</v>
      </c>
      <c r="AC156">
        <f t="shared" si="103"/>
        <v>5012720.79335027</v>
      </c>
      <c r="AD156">
        <f t="shared" si="104"/>
        <v>41.772673277918912</v>
      </c>
      <c r="AE156">
        <f t="shared" si="105"/>
        <v>173.99832242862266</v>
      </c>
      <c r="AF156">
        <f t="shared" si="106"/>
        <v>872205.00884602137</v>
      </c>
      <c r="AG156">
        <f t="shared" si="107"/>
        <v>4109.9172221833378</v>
      </c>
      <c r="AH156" s="29">
        <v>481023.38236358098</v>
      </c>
      <c r="AI156">
        <f t="shared" si="108"/>
        <v>3463368.3530177833</v>
      </c>
      <c r="AJ156">
        <f t="shared" si="109"/>
        <v>4947669.0757396901</v>
      </c>
      <c r="AK156">
        <f t="shared" si="110"/>
        <v>41.230575631164086</v>
      </c>
      <c r="AL156">
        <f t="shared" si="111"/>
        <v>174.37676795560242</v>
      </c>
      <c r="AM156">
        <f t="shared" si="112"/>
        <v>862758.5423413699</v>
      </c>
      <c r="AN156">
        <f t="shared" si="113"/>
        <v>4065.4045273667693</v>
      </c>
      <c r="AO156" s="29">
        <v>438029.46760459302</v>
      </c>
      <c r="AP156">
        <f t="shared" si="114"/>
        <v>3153812.16675307</v>
      </c>
      <c r="AQ156">
        <f t="shared" si="115"/>
        <v>4505445.9525043853</v>
      </c>
      <c r="AR156">
        <f t="shared" si="116"/>
        <v>37.545382937536544</v>
      </c>
      <c r="AS156">
        <f t="shared" si="117"/>
        <v>176.94944964738016</v>
      </c>
      <c r="AT156">
        <f t="shared" si="118"/>
        <v>797236.18171166757</v>
      </c>
      <c r="AU156">
        <f t="shared" si="119"/>
        <v>3756.6566118435489</v>
      </c>
      <c r="AV156" s="29">
        <v>375952.67534174002</v>
      </c>
      <c r="AW156">
        <f t="shared" si="120"/>
        <v>2706859.2624605284</v>
      </c>
      <c r="AX156">
        <f t="shared" si="121"/>
        <v>3866941.8035150408</v>
      </c>
      <c r="AY156">
        <f t="shared" si="122"/>
        <v>32.224515029292007</v>
      </c>
      <c r="AZ156">
        <f t="shared" si="123"/>
        <v>180.66401780973953</v>
      </c>
      <c r="BA156">
        <f t="shared" si="124"/>
        <v>698617.24285946763</v>
      </c>
      <c r="BB156">
        <f t="shared" si="125"/>
        <v>3291.9543100780975</v>
      </c>
      <c r="BC156" s="29">
        <v>438671.819550313</v>
      </c>
      <c r="BD156">
        <f t="shared" si="126"/>
        <v>3158437.1007622536</v>
      </c>
      <c r="BE156">
        <f t="shared" si="127"/>
        <v>4512053.0010889331</v>
      </c>
      <c r="BF156">
        <f t="shared" si="128"/>
        <v>37.600441675741109</v>
      </c>
      <c r="BG156">
        <f t="shared" si="129"/>
        <v>176.91101241504867</v>
      </c>
      <c r="BH156">
        <f t="shared" si="130"/>
        <v>798231.86449300183</v>
      </c>
      <c r="BI156">
        <f t="shared" si="131"/>
        <v>3761.3483686774744</v>
      </c>
      <c r="BJ156" s="29">
        <v>408070.321081993</v>
      </c>
      <c r="BK156">
        <f t="shared" si="132"/>
        <v>2938106.3117903494</v>
      </c>
      <c r="BL156">
        <f t="shared" si="133"/>
        <v>4197294.7311290707</v>
      </c>
      <c r="BM156">
        <f t="shared" si="134"/>
        <v>34.977456092742251</v>
      </c>
      <c r="BN156">
        <f t="shared" si="135"/>
        <v>178.74215329374599</v>
      </c>
      <c r="BO156">
        <f t="shared" si="136"/>
        <v>750233.49825050472</v>
      </c>
      <c r="BP156">
        <f t="shared" si="137"/>
        <v>3535.1752671062036</v>
      </c>
    </row>
    <row r="157" spans="1:68" x14ac:dyDescent="0.25">
      <c r="A157">
        <v>14</v>
      </c>
      <c r="B157">
        <v>60</v>
      </c>
      <c r="C157">
        <f t="shared" si="138"/>
        <v>4.1700000000000001E-2</v>
      </c>
      <c r="D157">
        <v>0.153</v>
      </c>
      <c r="E157">
        <f t="shared" si="87"/>
        <v>0.63800999999999997</v>
      </c>
      <c r="F157" s="29">
        <v>499996.8</v>
      </c>
      <c r="G157">
        <f t="shared" si="88"/>
        <v>3599976.96</v>
      </c>
      <c r="H157">
        <f t="shared" si="89"/>
        <v>5142824.2285714289</v>
      </c>
      <c r="I157">
        <f t="shared" si="90"/>
        <v>42.856868571428571</v>
      </c>
      <c r="J157">
        <f t="shared" si="91"/>
        <v>173.24143137466308</v>
      </c>
      <c r="K157">
        <f t="shared" si="92"/>
        <v>890950.2306660118</v>
      </c>
      <c r="L157">
        <f t="shared" si="93"/>
        <v>5684.3515666722215</v>
      </c>
      <c r="M157" s="7">
        <v>454111.77759084897</v>
      </c>
      <c r="N157">
        <f t="shared" si="94"/>
        <v>3269604.7986541125</v>
      </c>
      <c r="O157">
        <f t="shared" si="95"/>
        <v>4670863.9980773032</v>
      </c>
      <c r="P157">
        <f t="shared" si="96"/>
        <v>38.923866650644193</v>
      </c>
      <c r="Q157">
        <f t="shared" si="97"/>
        <v>175.98711196087103</v>
      </c>
      <c r="R157">
        <f t="shared" si="98"/>
        <v>822011.86538363202</v>
      </c>
      <c r="S157">
        <f t="shared" si="99"/>
        <v>5244.5179023341107</v>
      </c>
      <c r="T157" s="29">
        <v>431167.01346962998</v>
      </c>
      <c r="U157">
        <f t="shared" si="83"/>
        <v>3104402.4969813358</v>
      </c>
      <c r="V157">
        <f t="shared" si="84"/>
        <v>4434860.7099733371</v>
      </c>
      <c r="W157">
        <f t="shared" si="85"/>
        <v>36.957172583111145</v>
      </c>
      <c r="X157">
        <f t="shared" si="100"/>
        <v>177.36008706462053</v>
      </c>
      <c r="Y157">
        <f t="shared" si="101"/>
        <v>786567.28164033592</v>
      </c>
      <c r="Z157">
        <f t="shared" si="102"/>
        <v>5018.3779135935065</v>
      </c>
      <c r="AA157" s="29">
        <v>431173.77164456801</v>
      </c>
      <c r="AB157">
        <f t="shared" si="86"/>
        <v>3104451.1558408896</v>
      </c>
      <c r="AC157">
        <f t="shared" si="103"/>
        <v>4434930.2226298423</v>
      </c>
      <c r="AD157">
        <f t="shared" si="104"/>
        <v>36.957751855248688</v>
      </c>
      <c r="AE157">
        <f t="shared" si="105"/>
        <v>177.35968266709054</v>
      </c>
      <c r="AF157">
        <f t="shared" si="106"/>
        <v>786577.81693631806</v>
      </c>
      <c r="AG157">
        <f t="shared" si="107"/>
        <v>5018.4451298354024</v>
      </c>
      <c r="AH157" s="29">
        <v>396762.25746685202</v>
      </c>
      <c r="AI157">
        <f t="shared" si="108"/>
        <v>2856688.2537613348</v>
      </c>
      <c r="AJ157">
        <f t="shared" si="109"/>
        <v>4080983.21965905</v>
      </c>
      <c r="AK157">
        <f t="shared" si="110"/>
        <v>34.00819349715875</v>
      </c>
      <c r="AL157">
        <f t="shared" si="111"/>
        <v>179.41880831330428</v>
      </c>
      <c r="AM157">
        <f t="shared" si="112"/>
        <v>732205.14601781848</v>
      </c>
      <c r="AN157">
        <f t="shared" si="113"/>
        <v>4671.5420521082833</v>
      </c>
      <c r="AO157" s="29">
        <v>369197.99964944902</v>
      </c>
      <c r="AP157">
        <f t="shared" si="114"/>
        <v>2658225.597476033</v>
      </c>
      <c r="AQ157">
        <f t="shared" si="115"/>
        <v>3797465.1392514757</v>
      </c>
      <c r="AR157">
        <f t="shared" si="116"/>
        <v>31.645542827095632</v>
      </c>
      <c r="AS157">
        <f t="shared" si="117"/>
        <v>181.0682059508955</v>
      </c>
      <c r="AT157">
        <f t="shared" si="118"/>
        <v>687600.19992533233</v>
      </c>
      <c r="AU157">
        <f t="shared" si="119"/>
        <v>4386.9580355436128</v>
      </c>
      <c r="AV157" s="29">
        <v>238251.60661525399</v>
      </c>
      <c r="AW157">
        <f t="shared" si="120"/>
        <v>1715411.5676298288</v>
      </c>
      <c r="AX157">
        <f t="shared" si="121"/>
        <v>2450587.9537568982</v>
      </c>
      <c r="AY157">
        <f t="shared" si="122"/>
        <v>20.421566281307484</v>
      </c>
      <c r="AZ157">
        <f t="shared" si="123"/>
        <v>188.90381221870987</v>
      </c>
      <c r="BA157">
        <f t="shared" si="124"/>
        <v>462925.40664192557</v>
      </c>
      <c r="BB157">
        <f t="shared" si="125"/>
        <v>2953.5103869161489</v>
      </c>
      <c r="BC157" s="29">
        <v>344561.284793981</v>
      </c>
      <c r="BD157">
        <f t="shared" si="126"/>
        <v>2480841.2505166633</v>
      </c>
      <c r="BE157">
        <f t="shared" si="127"/>
        <v>3544058.929309519</v>
      </c>
      <c r="BF157">
        <f t="shared" si="128"/>
        <v>29.533824410912658</v>
      </c>
      <c r="BG157">
        <f t="shared" si="129"/>
        <v>182.54242446785344</v>
      </c>
      <c r="BH157">
        <f t="shared" si="130"/>
        <v>646941.10941310436</v>
      </c>
      <c r="BI157">
        <f t="shared" si="131"/>
        <v>4127.5489721665472</v>
      </c>
      <c r="BJ157" s="29">
        <v>266956.34021116898</v>
      </c>
      <c r="BK157">
        <f t="shared" si="132"/>
        <v>1922085.6495204167</v>
      </c>
      <c r="BL157">
        <f t="shared" si="133"/>
        <v>2745836.6421720241</v>
      </c>
      <c r="BM157">
        <f t="shared" si="134"/>
        <v>22.881972018100203</v>
      </c>
      <c r="BN157">
        <f t="shared" si="135"/>
        <v>187.18617047793003</v>
      </c>
      <c r="BO157">
        <f t="shared" si="136"/>
        <v>513982.64580615947</v>
      </c>
      <c r="BP157">
        <f t="shared" si="137"/>
        <v>3279.2606785078779</v>
      </c>
    </row>
    <row r="158" spans="1:68" x14ac:dyDescent="0.25">
      <c r="A158">
        <v>14</v>
      </c>
      <c r="B158">
        <v>80</v>
      </c>
      <c r="C158">
        <f t="shared" si="138"/>
        <v>4.1700000000000001E-2</v>
      </c>
      <c r="D158">
        <v>0.17399999999999999</v>
      </c>
      <c r="E158">
        <f t="shared" si="87"/>
        <v>0.72558</v>
      </c>
      <c r="F158" s="29">
        <v>499996.8</v>
      </c>
      <c r="G158">
        <f t="shared" si="88"/>
        <v>3599976.96</v>
      </c>
      <c r="H158">
        <f t="shared" si="89"/>
        <v>5142824.2285714289</v>
      </c>
      <c r="I158">
        <f t="shared" si="90"/>
        <v>42.856868571428571</v>
      </c>
      <c r="J158">
        <f t="shared" si="91"/>
        <v>173.24143137466308</v>
      </c>
      <c r="K158">
        <f t="shared" si="92"/>
        <v>890950.2306660118</v>
      </c>
      <c r="L158">
        <f t="shared" si="93"/>
        <v>6464.5566836664484</v>
      </c>
      <c r="M158" s="7">
        <v>425273.62725289998</v>
      </c>
      <c r="N158">
        <f t="shared" si="94"/>
        <v>3061970.1162208798</v>
      </c>
      <c r="O158">
        <f t="shared" si="95"/>
        <v>4374243.0231726849</v>
      </c>
      <c r="P158">
        <f t="shared" si="96"/>
        <v>36.452025193105705</v>
      </c>
      <c r="Q158">
        <f t="shared" si="97"/>
        <v>177.71273712934129</v>
      </c>
      <c r="R158">
        <f t="shared" si="98"/>
        <v>777358.70051694254</v>
      </c>
      <c r="S158">
        <f t="shared" si="99"/>
        <v>5640.3592592108316</v>
      </c>
      <c r="T158" s="29">
        <v>387916.96425002499</v>
      </c>
      <c r="U158">
        <f t="shared" si="83"/>
        <v>2793002.1426001801</v>
      </c>
      <c r="V158">
        <f t="shared" si="84"/>
        <v>3990003.0608573998</v>
      </c>
      <c r="W158">
        <f t="shared" si="85"/>
        <v>33.250025507144997</v>
      </c>
      <c r="X158">
        <f t="shared" si="100"/>
        <v>179.94809540067237</v>
      </c>
      <c r="Y158">
        <f t="shared" si="101"/>
        <v>717993.45144414215</v>
      </c>
      <c r="Z158">
        <f t="shared" si="102"/>
        <v>5209.6168849884061</v>
      </c>
      <c r="AA158" s="29">
        <v>387902.19401409902</v>
      </c>
      <c r="AB158">
        <f t="shared" si="86"/>
        <v>2792895.7969015129</v>
      </c>
      <c r="AC158">
        <f t="shared" si="103"/>
        <v>3989851.1384307323</v>
      </c>
      <c r="AD158">
        <f t="shared" si="104"/>
        <v>33.248759486922772</v>
      </c>
      <c r="AE158">
        <f t="shared" si="105"/>
        <v>179.94897922611051</v>
      </c>
      <c r="AF158">
        <f t="shared" si="106"/>
        <v>717969.63962474524</v>
      </c>
      <c r="AG158">
        <f t="shared" si="107"/>
        <v>5209.4441111892265</v>
      </c>
      <c r="AH158" s="29">
        <v>331854.89102114801</v>
      </c>
      <c r="AI158">
        <f t="shared" si="108"/>
        <v>2389355.2153522656</v>
      </c>
      <c r="AJ158">
        <f t="shared" si="109"/>
        <v>3413364.5933603793</v>
      </c>
      <c r="AK158">
        <f t="shared" si="110"/>
        <v>28.444704944669827</v>
      </c>
      <c r="AL158">
        <f t="shared" si="111"/>
        <v>183.30275315183428</v>
      </c>
      <c r="AM158">
        <f t="shared" si="112"/>
        <v>625679.12747394887</v>
      </c>
      <c r="AN158">
        <f t="shared" si="113"/>
        <v>4539.8026131254783</v>
      </c>
      <c r="AO158" s="29">
        <v>292331.8688388</v>
      </c>
      <c r="AP158">
        <f t="shared" si="114"/>
        <v>2104789.45563936</v>
      </c>
      <c r="AQ158">
        <f t="shared" si="115"/>
        <v>3006842.0794847999</v>
      </c>
      <c r="AR158">
        <f t="shared" si="116"/>
        <v>25.057017329040001</v>
      </c>
      <c r="AS158">
        <f t="shared" si="117"/>
        <v>185.66774261934944</v>
      </c>
      <c r="AT158">
        <f t="shared" si="118"/>
        <v>558273.58131081332</v>
      </c>
      <c r="AU158">
        <f t="shared" si="119"/>
        <v>4050.7214512749993</v>
      </c>
      <c r="AV158" s="29">
        <v>84590.770440145207</v>
      </c>
      <c r="AW158">
        <f t="shared" si="120"/>
        <v>609053.54716904555</v>
      </c>
      <c r="AX158">
        <f t="shared" si="121"/>
        <v>870076.49595577933</v>
      </c>
      <c r="AY158">
        <f t="shared" si="122"/>
        <v>7.2506374662981621</v>
      </c>
      <c r="AZ158">
        <f t="shared" si="123"/>
        <v>198.09861158013146</v>
      </c>
      <c r="BA158">
        <f t="shared" si="124"/>
        <v>172360.94581734572</v>
      </c>
      <c r="BB158">
        <f t="shared" si="125"/>
        <v>1250.6165506614971</v>
      </c>
      <c r="BC158" s="29">
        <v>250457.54633901099</v>
      </c>
      <c r="BD158">
        <f t="shared" si="126"/>
        <v>1803294.3336408793</v>
      </c>
      <c r="BE158">
        <f t="shared" si="127"/>
        <v>2576134.7623441136</v>
      </c>
      <c r="BF158">
        <f t="shared" si="128"/>
        <v>21.467789686200948</v>
      </c>
      <c r="BG158">
        <f t="shared" si="129"/>
        <v>188.17342984170878</v>
      </c>
      <c r="BH158">
        <f t="shared" si="130"/>
        <v>484760.11396474717</v>
      </c>
      <c r="BI158">
        <f t="shared" si="131"/>
        <v>3517.3224349054126</v>
      </c>
      <c r="BJ158" s="29">
        <v>125705.712202148</v>
      </c>
      <c r="BK158">
        <f t="shared" si="132"/>
        <v>905081.12785546563</v>
      </c>
      <c r="BL158">
        <f t="shared" si="133"/>
        <v>1292973.0397935223</v>
      </c>
      <c r="BM158">
        <f t="shared" si="134"/>
        <v>10.774775331612686</v>
      </c>
      <c r="BN158">
        <f t="shared" si="135"/>
        <v>195.63836439113831</v>
      </c>
      <c r="BO158">
        <f t="shared" si="136"/>
        <v>252955.1307070429</v>
      </c>
      <c r="BP158">
        <f t="shared" si="137"/>
        <v>1835.3918373841618</v>
      </c>
    </row>
    <row r="159" spans="1:68" x14ac:dyDescent="0.25">
      <c r="A159">
        <v>14</v>
      </c>
      <c r="B159">
        <v>100</v>
      </c>
      <c r="C159">
        <f t="shared" si="138"/>
        <v>4.1700000000000001E-2</v>
      </c>
      <c r="D159">
        <v>0.17399999999999999</v>
      </c>
      <c r="E159">
        <f t="shared" si="87"/>
        <v>0.72558</v>
      </c>
      <c r="F159" s="29">
        <v>499996.8</v>
      </c>
      <c r="G159">
        <f t="shared" si="88"/>
        <v>3599976.96</v>
      </c>
      <c r="H159">
        <f t="shared" si="89"/>
        <v>5142824.2285714289</v>
      </c>
      <c r="I159">
        <f t="shared" si="90"/>
        <v>42.856868571428571</v>
      </c>
      <c r="J159">
        <f t="shared" si="91"/>
        <v>173.24143137466308</v>
      </c>
      <c r="K159">
        <f t="shared" si="92"/>
        <v>890950.2306660118</v>
      </c>
      <c r="L159">
        <f t="shared" si="93"/>
        <v>6464.5566836664484</v>
      </c>
      <c r="M159" s="7">
        <v>430007.20448121597</v>
      </c>
      <c r="N159">
        <f t="shared" si="94"/>
        <v>3096051.872264755</v>
      </c>
      <c r="O159">
        <f t="shared" si="95"/>
        <v>4422931.2460925067</v>
      </c>
      <c r="P159">
        <f t="shared" si="96"/>
        <v>36.857760384104225</v>
      </c>
      <c r="Q159">
        <f t="shared" si="97"/>
        <v>177.42948803373855</v>
      </c>
      <c r="R159">
        <f t="shared" si="98"/>
        <v>784758.42660261865</v>
      </c>
      <c r="S159">
        <f t="shared" si="99"/>
        <v>5694.0501917432803</v>
      </c>
      <c r="T159" s="29">
        <v>395029.27821872599</v>
      </c>
      <c r="U159">
        <f t="shared" si="83"/>
        <v>2844210.8031748272</v>
      </c>
      <c r="V159">
        <f t="shared" si="84"/>
        <v>4063158.2902497528</v>
      </c>
      <c r="W159">
        <f t="shared" si="85"/>
        <v>33.859652418747942</v>
      </c>
      <c r="X159">
        <f t="shared" si="100"/>
        <v>179.52250680200615</v>
      </c>
      <c r="Y159">
        <f t="shared" si="101"/>
        <v>729428.36179898889</v>
      </c>
      <c r="Z159">
        <f t="shared" si="102"/>
        <v>5292.5863075411035</v>
      </c>
      <c r="AA159" s="29">
        <v>394978.65356911899</v>
      </c>
      <c r="AB159">
        <f t="shared" si="86"/>
        <v>2843846.3056976567</v>
      </c>
      <c r="AC159">
        <f t="shared" si="103"/>
        <v>4062637.5795680811</v>
      </c>
      <c r="AD159">
        <f t="shared" si="104"/>
        <v>33.855313163067343</v>
      </c>
      <c r="AE159">
        <f t="shared" si="105"/>
        <v>179.5255360937077</v>
      </c>
      <c r="AF159">
        <f t="shared" si="106"/>
        <v>729347.18942640279</v>
      </c>
      <c r="AG159">
        <f t="shared" si="107"/>
        <v>5291.997337040093</v>
      </c>
      <c r="AH159" s="29">
        <v>342469.58035367902</v>
      </c>
      <c r="AI159">
        <f t="shared" si="108"/>
        <v>2465780.978546489</v>
      </c>
      <c r="AJ159">
        <f t="shared" si="109"/>
        <v>3522544.2550664125</v>
      </c>
      <c r="AK159">
        <f t="shared" si="110"/>
        <v>29.354535458886772</v>
      </c>
      <c r="AL159">
        <f t="shared" si="111"/>
        <v>182.66758845323</v>
      </c>
      <c r="AM159">
        <f t="shared" si="112"/>
        <v>643454.66429276112</v>
      </c>
      <c r="AN159">
        <f t="shared" si="113"/>
        <v>4668.7783531754158</v>
      </c>
      <c r="AO159" s="29">
        <v>225188.36801099099</v>
      </c>
      <c r="AP159">
        <f t="shared" si="114"/>
        <v>1621356.2496791352</v>
      </c>
      <c r="AQ159">
        <f t="shared" si="115"/>
        <v>2316223.2138273357</v>
      </c>
      <c r="AR159">
        <f t="shared" si="116"/>
        <v>19.3018601152278</v>
      </c>
      <c r="AS159">
        <f t="shared" si="117"/>
        <v>189.68549388182211</v>
      </c>
      <c r="AT159">
        <f t="shared" si="118"/>
        <v>439353.94425537944</v>
      </c>
      <c r="AU159">
        <f t="shared" si="119"/>
        <v>3187.864348728182</v>
      </c>
      <c r="AV159" s="29">
        <v>0</v>
      </c>
      <c r="AW159">
        <f t="shared" si="120"/>
        <v>0</v>
      </c>
      <c r="AX159">
        <f t="shared" si="121"/>
        <v>0</v>
      </c>
      <c r="AY159">
        <f t="shared" si="122"/>
        <v>0</v>
      </c>
      <c r="AZ159">
        <f t="shared" si="123"/>
        <v>203.16037735849056</v>
      </c>
      <c r="BA159">
        <f t="shared" si="124"/>
        <v>0</v>
      </c>
      <c r="BB159">
        <f t="shared" si="125"/>
        <v>0</v>
      </c>
      <c r="BC159" s="29">
        <v>212438.99020216599</v>
      </c>
      <c r="BD159">
        <f t="shared" si="126"/>
        <v>1529560.7294555951</v>
      </c>
      <c r="BE159">
        <f t="shared" si="127"/>
        <v>2185086.7563651358</v>
      </c>
      <c r="BF159">
        <f t="shared" si="128"/>
        <v>18.2090563030428</v>
      </c>
      <c r="BG159">
        <f t="shared" si="129"/>
        <v>190.44839465636636</v>
      </c>
      <c r="BH159">
        <f t="shared" si="130"/>
        <v>416146.26493462682</v>
      </c>
      <c r="BI159">
        <f t="shared" si="131"/>
        <v>3019.4740691126653</v>
      </c>
      <c r="BJ159" s="29">
        <v>68404.914869150205</v>
      </c>
      <c r="BK159">
        <f t="shared" si="132"/>
        <v>492515.38705788151</v>
      </c>
      <c r="BL159">
        <f t="shared" si="133"/>
        <v>703593.41008268786</v>
      </c>
      <c r="BM159">
        <f t="shared" si="134"/>
        <v>5.8632784173557324</v>
      </c>
      <c r="BN159">
        <f t="shared" si="135"/>
        <v>199.06714525580827</v>
      </c>
      <c r="BO159">
        <f t="shared" si="136"/>
        <v>140062.3315659599</v>
      </c>
      <c r="BP159">
        <f t="shared" si="137"/>
        <v>1016.2642653762919</v>
      </c>
    </row>
    <row r="160" spans="1:68" x14ac:dyDescent="0.25">
      <c r="A160">
        <v>14</v>
      </c>
      <c r="B160">
        <v>120</v>
      </c>
      <c r="C160">
        <f t="shared" si="138"/>
        <v>4.1700000000000001E-2</v>
      </c>
      <c r="D160">
        <v>0.153</v>
      </c>
      <c r="E160">
        <f t="shared" si="87"/>
        <v>0.63800999999999997</v>
      </c>
      <c r="F160" s="29">
        <v>499996.8</v>
      </c>
      <c r="G160">
        <f t="shared" si="88"/>
        <v>3599976.96</v>
      </c>
      <c r="H160">
        <f t="shared" si="89"/>
        <v>5142824.2285714289</v>
      </c>
      <c r="I160">
        <f t="shared" si="90"/>
        <v>42.856868571428571</v>
      </c>
      <c r="J160">
        <f t="shared" si="91"/>
        <v>173.24143137466308</v>
      </c>
      <c r="K160">
        <f t="shared" si="92"/>
        <v>890950.2306660118</v>
      </c>
      <c r="L160">
        <f t="shared" si="93"/>
        <v>5684.3515666722215</v>
      </c>
      <c r="M160" s="7">
        <v>465787.91578647803</v>
      </c>
      <c r="N160">
        <f t="shared" si="94"/>
        <v>3353672.9936626418</v>
      </c>
      <c r="O160">
        <f t="shared" si="95"/>
        <v>4790961.4195180591</v>
      </c>
      <c r="P160">
        <f t="shared" si="96"/>
        <v>39.924678495983827</v>
      </c>
      <c r="Q160">
        <f t="shared" si="97"/>
        <v>175.28843199336978</v>
      </c>
      <c r="R160">
        <f t="shared" si="98"/>
        <v>839800.11496804969</v>
      </c>
      <c r="S160">
        <f t="shared" si="99"/>
        <v>5358.0087135076537</v>
      </c>
      <c r="T160" s="29">
        <v>448695.842032774</v>
      </c>
      <c r="U160">
        <f t="shared" si="83"/>
        <v>3230610.0626359731</v>
      </c>
      <c r="V160">
        <f t="shared" si="84"/>
        <v>4615157.2323371042</v>
      </c>
      <c r="W160">
        <f t="shared" si="85"/>
        <v>38.459643602809201</v>
      </c>
      <c r="X160">
        <f t="shared" si="100"/>
        <v>176.31119220181245</v>
      </c>
      <c r="Y160">
        <f t="shared" si="101"/>
        <v>813703.8738321719</v>
      </c>
      <c r="Z160">
        <f t="shared" si="102"/>
        <v>5191.5120854366396</v>
      </c>
      <c r="AA160" s="29">
        <v>448658.71902641898</v>
      </c>
      <c r="AB160">
        <f t="shared" si="86"/>
        <v>3230342.7769902167</v>
      </c>
      <c r="AC160">
        <f t="shared" si="103"/>
        <v>4614775.3957003104</v>
      </c>
      <c r="AD160">
        <f t="shared" si="104"/>
        <v>38.456461630835918</v>
      </c>
      <c r="AE160">
        <f t="shared" si="105"/>
        <v>176.31341357847305</v>
      </c>
      <c r="AF160">
        <f t="shared" si="106"/>
        <v>813646.80291387043</v>
      </c>
      <c r="AG160">
        <f t="shared" si="107"/>
        <v>5191.1479672707846</v>
      </c>
      <c r="AH160" s="29">
        <v>422989.67853962898</v>
      </c>
      <c r="AI160">
        <f t="shared" si="108"/>
        <v>3045525.6854853285</v>
      </c>
      <c r="AJ160">
        <f t="shared" si="109"/>
        <v>4350750.9792647548</v>
      </c>
      <c r="AK160">
        <f t="shared" si="110"/>
        <v>36.256258160539623</v>
      </c>
      <c r="AL160">
        <f t="shared" si="111"/>
        <v>177.849404680378</v>
      </c>
      <c r="AM160">
        <f t="shared" si="112"/>
        <v>773778.47157480824</v>
      </c>
      <c r="AN160">
        <f t="shared" si="113"/>
        <v>4936.7840264944334</v>
      </c>
      <c r="AO160" s="29">
        <v>185358.523214224</v>
      </c>
      <c r="AP160">
        <f t="shared" si="114"/>
        <v>1334581.3671424128</v>
      </c>
      <c r="AQ160">
        <f t="shared" si="115"/>
        <v>1906544.8102034468</v>
      </c>
      <c r="AR160">
        <f t="shared" si="116"/>
        <v>15.887873418362057</v>
      </c>
      <c r="AS160">
        <f t="shared" si="117"/>
        <v>192.06884308529442</v>
      </c>
      <c r="AT160">
        <f t="shared" si="118"/>
        <v>366187.85598604823</v>
      </c>
      <c r="AU160">
        <f t="shared" si="119"/>
        <v>2336.3151399765861</v>
      </c>
      <c r="AV160" s="29">
        <v>0</v>
      </c>
      <c r="AW160">
        <f t="shared" si="120"/>
        <v>0</v>
      </c>
      <c r="AX160">
        <f t="shared" si="121"/>
        <v>0</v>
      </c>
      <c r="AY160">
        <f t="shared" si="122"/>
        <v>0</v>
      </c>
      <c r="AZ160">
        <f t="shared" si="123"/>
        <v>203.16037735849056</v>
      </c>
      <c r="BA160">
        <f t="shared" si="124"/>
        <v>0</v>
      </c>
      <c r="BB160">
        <f t="shared" si="125"/>
        <v>0</v>
      </c>
      <c r="BC160" s="29">
        <v>251818.210549571</v>
      </c>
      <c r="BD160">
        <f t="shared" si="126"/>
        <v>1813091.1159569111</v>
      </c>
      <c r="BE160">
        <f t="shared" si="127"/>
        <v>2590130.16565273</v>
      </c>
      <c r="BF160">
        <f t="shared" si="128"/>
        <v>21.584418047106084</v>
      </c>
      <c r="BG160">
        <f t="shared" si="129"/>
        <v>188.09201004258631</v>
      </c>
      <c r="BH160">
        <f t="shared" si="130"/>
        <v>487182.78912955907</v>
      </c>
      <c r="BI160">
        <f t="shared" si="131"/>
        <v>3108.2749129254998</v>
      </c>
      <c r="BJ160" s="29">
        <v>127234.824983707</v>
      </c>
      <c r="BK160">
        <f t="shared" si="132"/>
        <v>916090.73988269048</v>
      </c>
      <c r="BL160">
        <f t="shared" si="133"/>
        <v>1308701.056975272</v>
      </c>
      <c r="BM160">
        <f t="shared" si="134"/>
        <v>10.905842141460599</v>
      </c>
      <c r="BN160">
        <f t="shared" si="135"/>
        <v>195.5468649201124</v>
      </c>
      <c r="BO160">
        <f t="shared" si="136"/>
        <v>255912.38880915183</v>
      </c>
      <c r="BP160">
        <f t="shared" si="137"/>
        <v>1632.7466318412696</v>
      </c>
    </row>
    <row r="161" spans="1:68" x14ac:dyDescent="0.25">
      <c r="A161">
        <v>14</v>
      </c>
      <c r="B161">
        <v>140</v>
      </c>
      <c r="C161">
        <f t="shared" si="138"/>
        <v>4.1700000000000001E-2</v>
      </c>
      <c r="D161">
        <v>0.113</v>
      </c>
      <c r="E161">
        <f t="shared" si="87"/>
        <v>0.47121000000000002</v>
      </c>
      <c r="F161" s="29">
        <v>499996.8</v>
      </c>
      <c r="G161">
        <f t="shared" si="88"/>
        <v>3599976.96</v>
      </c>
      <c r="H161">
        <f t="shared" si="89"/>
        <v>5142824.2285714289</v>
      </c>
      <c r="I161">
        <f t="shared" si="90"/>
        <v>42.856868571428571</v>
      </c>
      <c r="J161">
        <f t="shared" si="91"/>
        <v>173.24143137466308</v>
      </c>
      <c r="K161">
        <f t="shared" si="92"/>
        <v>890950.2306660118</v>
      </c>
      <c r="L161">
        <f t="shared" si="93"/>
        <v>4198.2465819213148</v>
      </c>
      <c r="M161" s="7">
        <v>501870.13831125799</v>
      </c>
      <c r="N161">
        <f t="shared" si="94"/>
        <v>3613464.9958410575</v>
      </c>
      <c r="O161">
        <f t="shared" si="95"/>
        <v>5162092.8512015101</v>
      </c>
      <c r="P161">
        <f t="shared" si="96"/>
        <v>43.017440426679251</v>
      </c>
      <c r="Q161">
        <f t="shared" si="97"/>
        <v>173.12933404175223</v>
      </c>
      <c r="R161">
        <f t="shared" si="98"/>
        <v>893709.69759020745</v>
      </c>
      <c r="S161">
        <f t="shared" si="99"/>
        <v>4211.2494660148168</v>
      </c>
      <c r="T161" s="29">
        <v>502803.59985549602</v>
      </c>
      <c r="U161">
        <f t="shared" si="83"/>
        <v>3620185.9189595715</v>
      </c>
      <c r="V161">
        <f t="shared" si="84"/>
        <v>5171694.1699422449</v>
      </c>
      <c r="W161">
        <f t="shared" si="85"/>
        <v>43.097451416185372</v>
      </c>
      <c r="X161">
        <f t="shared" si="100"/>
        <v>173.07347731322909</v>
      </c>
      <c r="Y161">
        <f t="shared" si="101"/>
        <v>895083.09359245829</v>
      </c>
      <c r="Z161">
        <f t="shared" si="102"/>
        <v>4217.7210453170228</v>
      </c>
      <c r="AA161" s="29">
        <v>502813.226761578</v>
      </c>
      <c r="AB161">
        <f t="shared" si="86"/>
        <v>3620255.2326833615</v>
      </c>
      <c r="AC161">
        <f t="shared" si="103"/>
        <v>5171793.1895476598</v>
      </c>
      <c r="AD161">
        <f t="shared" si="104"/>
        <v>43.09827657956383</v>
      </c>
      <c r="AE161">
        <f t="shared" si="105"/>
        <v>173.0729012557762</v>
      </c>
      <c r="AF161">
        <f t="shared" si="106"/>
        <v>895097.25200987805</v>
      </c>
      <c r="AG161">
        <f t="shared" si="107"/>
        <v>4217.7877611957465</v>
      </c>
      <c r="AH161" s="29">
        <v>504221.44014236802</v>
      </c>
      <c r="AI161">
        <f t="shared" si="108"/>
        <v>3630394.3690250497</v>
      </c>
      <c r="AJ161">
        <f t="shared" si="109"/>
        <v>5186277.6700357851</v>
      </c>
      <c r="AK161">
        <f t="shared" si="110"/>
        <v>43.218980583631541</v>
      </c>
      <c r="AL161">
        <f t="shared" si="111"/>
        <v>172.98863619633269</v>
      </c>
      <c r="AM161">
        <f t="shared" si="112"/>
        <v>897167.10107498441</v>
      </c>
      <c r="AN161">
        <f t="shared" si="113"/>
        <v>4227.5410969754339</v>
      </c>
      <c r="AO161" s="29">
        <v>184965.46771046199</v>
      </c>
      <c r="AP161">
        <f t="shared" si="114"/>
        <v>1331751.3675153265</v>
      </c>
      <c r="AQ161">
        <f t="shared" si="115"/>
        <v>1902501.9535933235</v>
      </c>
      <c r="AR161">
        <f t="shared" si="116"/>
        <v>15.854182946611029</v>
      </c>
      <c r="AS161">
        <f t="shared" si="117"/>
        <v>192.0923628485923</v>
      </c>
      <c r="AT161">
        <f t="shared" si="118"/>
        <v>365456.0955898044</v>
      </c>
      <c r="AU161">
        <f t="shared" si="119"/>
        <v>1722.0656680287175</v>
      </c>
      <c r="AV161" s="29">
        <v>0</v>
      </c>
      <c r="AW161">
        <f t="shared" si="120"/>
        <v>0</v>
      </c>
      <c r="AX161">
        <f t="shared" si="121"/>
        <v>0</v>
      </c>
      <c r="AY161">
        <f t="shared" si="122"/>
        <v>0</v>
      </c>
      <c r="AZ161">
        <f t="shared" si="123"/>
        <v>203.16037735849056</v>
      </c>
      <c r="BA161">
        <f t="shared" si="124"/>
        <v>0</v>
      </c>
      <c r="BB161">
        <f t="shared" si="125"/>
        <v>0</v>
      </c>
      <c r="BC161" s="29">
        <v>339856.83582243603</v>
      </c>
      <c r="BD161">
        <f t="shared" si="126"/>
        <v>2446969.2179215397</v>
      </c>
      <c r="BE161">
        <f t="shared" si="127"/>
        <v>3495670.3113164851</v>
      </c>
      <c r="BF161">
        <f t="shared" si="128"/>
        <v>29.130585927637373</v>
      </c>
      <c r="BG161">
        <f t="shared" si="129"/>
        <v>182.82393057881919</v>
      </c>
      <c r="BH161">
        <f t="shared" si="130"/>
        <v>639092.18632256438</v>
      </c>
      <c r="BI161">
        <f t="shared" si="131"/>
        <v>3011.4662911705559</v>
      </c>
      <c r="BJ161" s="29">
        <v>259327.00047188901</v>
      </c>
      <c r="BK161">
        <f t="shared" si="132"/>
        <v>1867154.4033976009</v>
      </c>
      <c r="BL161">
        <f t="shared" si="133"/>
        <v>2667363.4334251443</v>
      </c>
      <c r="BM161">
        <f t="shared" si="134"/>
        <v>22.228028611876201</v>
      </c>
      <c r="BN161">
        <f t="shared" si="135"/>
        <v>187.64269700680342</v>
      </c>
      <c r="BO161">
        <f t="shared" si="136"/>
        <v>500511.26854522119</v>
      </c>
      <c r="BP161">
        <f t="shared" si="137"/>
        <v>2358.4591485119367</v>
      </c>
    </row>
    <row r="162" spans="1:68" x14ac:dyDescent="0.25">
      <c r="A162">
        <v>14</v>
      </c>
      <c r="B162">
        <v>160</v>
      </c>
      <c r="C162">
        <f t="shared" si="138"/>
        <v>4.1700000000000001E-2</v>
      </c>
      <c r="D162">
        <v>0.06</v>
      </c>
      <c r="E162">
        <f t="shared" si="87"/>
        <v>0.25019999999999998</v>
      </c>
      <c r="F162" s="29">
        <v>499996.8</v>
      </c>
      <c r="G162">
        <f t="shared" si="88"/>
        <v>3599976.96</v>
      </c>
      <c r="H162">
        <f t="shared" si="89"/>
        <v>5142824.2285714289</v>
      </c>
      <c r="I162">
        <f t="shared" si="90"/>
        <v>42.856868571428571</v>
      </c>
      <c r="J162">
        <f t="shared" si="91"/>
        <v>173.24143137466308</v>
      </c>
      <c r="K162">
        <f t="shared" si="92"/>
        <v>890950.2306660118</v>
      </c>
      <c r="L162">
        <f t="shared" si="93"/>
        <v>2229.1574771263613</v>
      </c>
      <c r="M162" s="7">
        <v>506669.13254840102</v>
      </c>
      <c r="N162">
        <f t="shared" si="94"/>
        <v>3648017.7543484876</v>
      </c>
      <c r="O162">
        <f t="shared" si="95"/>
        <v>5211453.9347835537</v>
      </c>
      <c r="P162">
        <f t="shared" si="96"/>
        <v>43.428782789862943</v>
      </c>
      <c r="Q162">
        <f t="shared" si="97"/>
        <v>172.84217050519001</v>
      </c>
      <c r="R162">
        <f t="shared" si="98"/>
        <v>900759.00957580237</v>
      </c>
      <c r="S162">
        <f t="shared" si="99"/>
        <v>2253.6990419586573</v>
      </c>
      <c r="T162" s="29">
        <v>510016.92949081102</v>
      </c>
      <c r="U162">
        <f t="shared" si="83"/>
        <v>3672121.8923338396</v>
      </c>
      <c r="V162">
        <f t="shared" si="84"/>
        <v>5245888.4176197704</v>
      </c>
      <c r="W162">
        <f t="shared" si="85"/>
        <v>43.715736813498083</v>
      </c>
      <c r="X162">
        <f t="shared" si="100"/>
        <v>172.64184411133152</v>
      </c>
      <c r="Y162">
        <f t="shared" si="101"/>
        <v>905659.85042015195</v>
      </c>
      <c r="Z162">
        <f t="shared" si="102"/>
        <v>2265.9609457512202</v>
      </c>
      <c r="AA162" s="29">
        <v>509981.98231167102</v>
      </c>
      <c r="AB162">
        <f t="shared" si="86"/>
        <v>3671870.2726440313</v>
      </c>
      <c r="AC162">
        <f t="shared" si="103"/>
        <v>5245528.9609200442</v>
      </c>
      <c r="AD162">
        <f t="shared" si="104"/>
        <v>43.712741341000367</v>
      </c>
      <c r="AE162">
        <f t="shared" si="105"/>
        <v>172.64393529024503</v>
      </c>
      <c r="AF162">
        <f t="shared" si="106"/>
        <v>905608.76249218627</v>
      </c>
      <c r="AG162">
        <f t="shared" si="107"/>
        <v>2265.8331237554498</v>
      </c>
      <c r="AH162" s="29">
        <v>514974.57346750703</v>
      </c>
      <c r="AI162">
        <f t="shared" si="108"/>
        <v>3707816.9289660505</v>
      </c>
      <c r="AJ162">
        <f t="shared" si="109"/>
        <v>5296881.3270943584</v>
      </c>
      <c r="AK162">
        <f t="shared" si="110"/>
        <v>44.140677725786318</v>
      </c>
      <c r="AL162">
        <f t="shared" si="111"/>
        <v>172.34518724803596</v>
      </c>
      <c r="AM162">
        <f t="shared" si="112"/>
        <v>912892.00414870237</v>
      </c>
      <c r="AN162">
        <f t="shared" si="113"/>
        <v>2284.0557943800532</v>
      </c>
      <c r="AO162" s="29">
        <v>227176.13475084101</v>
      </c>
      <c r="AP162">
        <f t="shared" si="114"/>
        <v>1635668.1702060553</v>
      </c>
      <c r="AQ162">
        <f t="shared" si="115"/>
        <v>2336668.8145800792</v>
      </c>
      <c r="AR162">
        <f t="shared" si="116"/>
        <v>19.472240121500661</v>
      </c>
      <c r="AS162">
        <f t="shared" si="117"/>
        <v>189.56654934914104</v>
      </c>
      <c r="AT162">
        <f t="shared" si="118"/>
        <v>442954.24415169348</v>
      </c>
      <c r="AU162">
        <f t="shared" si="119"/>
        <v>1108.271518867537</v>
      </c>
      <c r="AV162" s="29">
        <v>0</v>
      </c>
      <c r="AW162">
        <f t="shared" si="120"/>
        <v>0</v>
      </c>
      <c r="AX162">
        <f t="shared" si="121"/>
        <v>0</v>
      </c>
      <c r="AY162">
        <f t="shared" si="122"/>
        <v>0</v>
      </c>
      <c r="AZ162">
        <f t="shared" si="123"/>
        <v>203.16037735849056</v>
      </c>
      <c r="BA162">
        <f t="shared" si="124"/>
        <v>0</v>
      </c>
      <c r="BB162">
        <f t="shared" si="125"/>
        <v>0</v>
      </c>
      <c r="BC162" s="29">
        <v>426211.32952950499</v>
      </c>
      <c r="BD162">
        <f t="shared" si="126"/>
        <v>3068721.572612436</v>
      </c>
      <c r="BE162">
        <f t="shared" si="127"/>
        <v>4383887.9608749086</v>
      </c>
      <c r="BF162">
        <f t="shared" si="128"/>
        <v>36.53239967395757</v>
      </c>
      <c r="BG162">
        <f t="shared" si="129"/>
        <v>177.65662664270886</v>
      </c>
      <c r="BH162">
        <f t="shared" si="130"/>
        <v>778826.74670861999</v>
      </c>
      <c r="BI162">
        <f t="shared" si="131"/>
        <v>1948.624520264967</v>
      </c>
      <c r="BJ162" s="29">
        <v>389078.29839421698</v>
      </c>
      <c r="BK162">
        <f t="shared" si="132"/>
        <v>2801363.7484383625</v>
      </c>
      <c r="BL162">
        <f t="shared" si="133"/>
        <v>4001948.2120548035</v>
      </c>
      <c r="BM162">
        <f t="shared" si="134"/>
        <v>33.349568433790026</v>
      </c>
      <c r="BN162">
        <f t="shared" si="135"/>
        <v>179.87860316886358</v>
      </c>
      <c r="BO162">
        <f t="shared" si="136"/>
        <v>719864.85433854919</v>
      </c>
      <c r="BP162">
        <f t="shared" si="137"/>
        <v>1801.1018655550499</v>
      </c>
    </row>
    <row r="163" spans="1:68" x14ac:dyDescent="0.25">
      <c r="A163">
        <v>14</v>
      </c>
      <c r="B163">
        <v>180</v>
      </c>
      <c r="C163">
        <f t="shared" si="138"/>
        <v>4.1700000000000001E-2</v>
      </c>
      <c r="D163">
        <v>0</v>
      </c>
      <c r="E163">
        <f t="shared" si="87"/>
        <v>0</v>
      </c>
      <c r="F163" s="29">
        <v>499996.8</v>
      </c>
      <c r="G163">
        <f t="shared" si="88"/>
        <v>3599976.96</v>
      </c>
      <c r="H163">
        <f t="shared" si="89"/>
        <v>5142824.2285714289</v>
      </c>
      <c r="I163">
        <f t="shared" si="90"/>
        <v>42.856868571428571</v>
      </c>
      <c r="J163">
        <f t="shared" si="91"/>
        <v>173.24143137466308</v>
      </c>
      <c r="K163">
        <f t="shared" si="92"/>
        <v>890950.2306660118</v>
      </c>
      <c r="L163">
        <f t="shared" si="93"/>
        <v>0</v>
      </c>
      <c r="M163" s="7">
        <v>476328.89643312502</v>
      </c>
      <c r="N163">
        <f t="shared" si="94"/>
        <v>3429568.0543185002</v>
      </c>
      <c r="O163">
        <f t="shared" si="95"/>
        <v>4899382.9347407147</v>
      </c>
      <c r="P163">
        <f t="shared" si="96"/>
        <v>40.828191122839293</v>
      </c>
      <c r="Q163">
        <f t="shared" si="97"/>
        <v>174.65767789537634</v>
      </c>
      <c r="R163">
        <f t="shared" si="98"/>
        <v>855714.84650204738</v>
      </c>
      <c r="S163">
        <f t="shared" si="99"/>
        <v>0</v>
      </c>
      <c r="T163" s="29">
        <v>464542.60646550998</v>
      </c>
      <c r="U163">
        <f t="shared" si="83"/>
        <v>3344706.766551672</v>
      </c>
      <c r="V163">
        <f t="shared" si="84"/>
        <v>4778152.5236452464</v>
      </c>
      <c r="W163">
        <f t="shared" si="85"/>
        <v>39.817937697043725</v>
      </c>
      <c r="X163">
        <f t="shared" si="100"/>
        <v>175.36294915489401</v>
      </c>
      <c r="Y163">
        <f t="shared" si="101"/>
        <v>837910.91805832984</v>
      </c>
      <c r="Z163">
        <f t="shared" si="102"/>
        <v>0</v>
      </c>
      <c r="AA163" s="29">
        <v>464399.53401599999</v>
      </c>
      <c r="AB163">
        <f t="shared" si="86"/>
        <v>3343676.6449151998</v>
      </c>
      <c r="AC163">
        <f t="shared" si="103"/>
        <v>4776680.9213074287</v>
      </c>
      <c r="AD163">
        <f t="shared" si="104"/>
        <v>39.805674344228571</v>
      </c>
      <c r="AE163">
        <f t="shared" si="105"/>
        <v>175.37151036346307</v>
      </c>
      <c r="AF163">
        <f t="shared" si="106"/>
        <v>837693.74769402202</v>
      </c>
      <c r="AG163">
        <f t="shared" si="107"/>
        <v>0</v>
      </c>
      <c r="AH163" s="29">
        <v>446600.90102400002</v>
      </c>
      <c r="AI163">
        <f t="shared" si="108"/>
        <v>3215526.4873728002</v>
      </c>
      <c r="AJ163">
        <f t="shared" si="109"/>
        <v>4593609.2676754287</v>
      </c>
      <c r="AK163">
        <f t="shared" si="110"/>
        <v>38.280077230628571</v>
      </c>
      <c r="AL163">
        <f t="shared" si="111"/>
        <v>176.43654985786307</v>
      </c>
      <c r="AM163">
        <f t="shared" si="112"/>
        <v>810480.5705837576</v>
      </c>
      <c r="AN163">
        <f t="shared" si="113"/>
        <v>0</v>
      </c>
      <c r="AO163" s="29">
        <v>305178.69801782299</v>
      </c>
      <c r="AP163">
        <f t="shared" si="114"/>
        <v>2197286.6257283255</v>
      </c>
      <c r="AQ163">
        <f t="shared" si="115"/>
        <v>3138980.8938976079</v>
      </c>
      <c r="AR163">
        <f t="shared" si="116"/>
        <v>26.158174115813399</v>
      </c>
      <c r="AS163">
        <f t="shared" si="117"/>
        <v>184.89901052292271</v>
      </c>
      <c r="AT163">
        <f t="shared" si="118"/>
        <v>580394.4613320271</v>
      </c>
      <c r="AU163">
        <f t="shared" si="119"/>
        <v>0</v>
      </c>
      <c r="AV163" s="29">
        <v>111184.807570316</v>
      </c>
      <c r="AW163">
        <f t="shared" si="120"/>
        <v>800530.61450627516</v>
      </c>
      <c r="AX163">
        <f t="shared" si="121"/>
        <v>1143615.1635803932</v>
      </c>
      <c r="AY163">
        <f t="shared" si="122"/>
        <v>9.5301263631699431</v>
      </c>
      <c r="AZ163">
        <f t="shared" si="123"/>
        <v>196.50727027476816</v>
      </c>
      <c r="BA163">
        <f t="shared" si="124"/>
        <v>224728.69404001551</v>
      </c>
      <c r="BB163">
        <f t="shared" si="125"/>
        <v>0</v>
      </c>
      <c r="BC163" s="29">
        <v>480320.17349022301</v>
      </c>
      <c r="BD163">
        <f t="shared" si="126"/>
        <v>3458305.2491296059</v>
      </c>
      <c r="BE163">
        <f t="shared" si="127"/>
        <v>4940436.070185151</v>
      </c>
      <c r="BF163">
        <f t="shared" si="128"/>
        <v>41.170300584876259</v>
      </c>
      <c r="BG163">
        <f t="shared" si="129"/>
        <v>174.41884676150147</v>
      </c>
      <c r="BH163">
        <f t="shared" si="130"/>
        <v>861705.16186061839</v>
      </c>
      <c r="BI163">
        <f t="shared" si="131"/>
        <v>0</v>
      </c>
      <c r="BJ163" s="29">
        <v>470402.00638025202</v>
      </c>
      <c r="BK163">
        <f t="shared" si="132"/>
        <v>3386894.4459378147</v>
      </c>
      <c r="BL163">
        <f t="shared" si="133"/>
        <v>4838420.6370540215</v>
      </c>
      <c r="BM163">
        <f t="shared" si="134"/>
        <v>40.32017197545018</v>
      </c>
      <c r="BN163">
        <f t="shared" si="135"/>
        <v>175.01233277185554</v>
      </c>
      <c r="BO163">
        <f t="shared" si="136"/>
        <v>846783.28262231173</v>
      </c>
      <c r="BP163">
        <f t="shared" si="137"/>
        <v>0</v>
      </c>
    </row>
    <row r="164" spans="1:68" x14ac:dyDescent="0.25">
      <c r="A164">
        <v>16</v>
      </c>
      <c r="B164">
        <v>0</v>
      </c>
      <c r="C164">
        <f>$AB$10</f>
        <v>1.8800000000000001E-2</v>
      </c>
      <c r="D164" cm="1">
        <f t="array" ref="D164:D173">$AD$2:$AD$11</f>
        <v>0</v>
      </c>
      <c r="E164">
        <f t="shared" si="87"/>
        <v>0</v>
      </c>
      <c r="F164" s="29">
        <v>499996.8</v>
      </c>
      <c r="G164">
        <f t="shared" si="88"/>
        <v>3599976.96</v>
      </c>
      <c r="H164">
        <f t="shared" si="89"/>
        <v>5142824.2285714289</v>
      </c>
      <c r="I164">
        <f t="shared" si="90"/>
        <v>42.856868571428571</v>
      </c>
      <c r="J164">
        <f t="shared" si="91"/>
        <v>173.24143137466308</v>
      </c>
      <c r="K164">
        <f t="shared" si="92"/>
        <v>890950.2306660118</v>
      </c>
      <c r="L164">
        <f t="shared" si="93"/>
        <v>0</v>
      </c>
      <c r="M164" s="7">
        <v>504081.266924389</v>
      </c>
      <c r="N164">
        <f t="shared" si="94"/>
        <v>3629385.1218556007</v>
      </c>
      <c r="O164">
        <f t="shared" si="95"/>
        <v>5184835.8883651439</v>
      </c>
      <c r="P164">
        <f t="shared" si="96"/>
        <v>43.206965736376198</v>
      </c>
      <c r="Q164">
        <f t="shared" si="97"/>
        <v>172.99702391988831</v>
      </c>
      <c r="R164">
        <f t="shared" si="98"/>
        <v>896961.17820020008</v>
      </c>
      <c r="S164">
        <f t="shared" si="99"/>
        <v>0</v>
      </c>
      <c r="T164" s="29">
        <v>506120.08847888798</v>
      </c>
      <c r="U164">
        <f t="shared" si="83"/>
        <v>3644064.6370479935</v>
      </c>
      <c r="V164">
        <f t="shared" si="84"/>
        <v>5205806.6243542768</v>
      </c>
      <c r="W164">
        <f t="shared" si="85"/>
        <v>43.381721869618971</v>
      </c>
      <c r="X164">
        <f t="shared" si="100"/>
        <v>172.87502435517166</v>
      </c>
      <c r="Y164">
        <f t="shared" si="101"/>
        <v>899953.94697355956</v>
      </c>
      <c r="Z164">
        <f t="shared" si="102"/>
        <v>0</v>
      </c>
      <c r="AA164" s="29">
        <v>506130.32678399998</v>
      </c>
      <c r="AB164">
        <f t="shared" si="86"/>
        <v>3644138.3528447999</v>
      </c>
      <c r="AC164">
        <f t="shared" si="103"/>
        <v>5205911.9326354284</v>
      </c>
      <c r="AD164">
        <f t="shared" si="104"/>
        <v>43.382599438628567</v>
      </c>
      <c r="AE164">
        <f t="shared" si="105"/>
        <v>172.87441171265553</v>
      </c>
      <c r="AF164">
        <f t="shared" si="106"/>
        <v>899968.96278224327</v>
      </c>
      <c r="AG164">
        <f t="shared" si="107"/>
        <v>0</v>
      </c>
      <c r="AH164" s="29">
        <v>509197.09017600003</v>
      </c>
      <c r="AI164">
        <f t="shared" si="108"/>
        <v>3666219.0492672003</v>
      </c>
      <c r="AJ164">
        <f t="shared" si="109"/>
        <v>5237455.7846674286</v>
      </c>
      <c r="AK164">
        <f t="shared" si="110"/>
        <v>43.645464872228573</v>
      </c>
      <c r="AL164">
        <f t="shared" si="111"/>
        <v>172.69090188165174</v>
      </c>
      <c r="AM164">
        <f t="shared" si="112"/>
        <v>904460.96301949222</v>
      </c>
      <c r="AN164">
        <f t="shared" si="113"/>
        <v>0</v>
      </c>
      <c r="AO164" s="29">
        <v>533606.119410338</v>
      </c>
      <c r="AP164">
        <f t="shared" si="114"/>
        <v>3841964.0597544336</v>
      </c>
      <c r="AQ164">
        <f t="shared" si="115"/>
        <v>5488520.0853634765</v>
      </c>
      <c r="AR164">
        <f t="shared" si="116"/>
        <v>45.737667378028966</v>
      </c>
      <c r="AS164">
        <f t="shared" si="117"/>
        <v>171.23030767948921</v>
      </c>
      <c r="AT164">
        <f t="shared" si="118"/>
        <v>939800.98292184446</v>
      </c>
      <c r="AU164">
        <f t="shared" si="119"/>
        <v>0</v>
      </c>
      <c r="AV164" s="29">
        <v>567156.51626639406</v>
      </c>
      <c r="AW164">
        <f t="shared" si="120"/>
        <v>4083526.9171180371</v>
      </c>
      <c r="AX164">
        <f t="shared" si="121"/>
        <v>5833609.8815971958</v>
      </c>
      <c r="AY164">
        <f t="shared" si="122"/>
        <v>48.613415679976633</v>
      </c>
      <c r="AZ164">
        <f t="shared" si="123"/>
        <v>169.2227098083182</v>
      </c>
      <c r="BA164">
        <f t="shared" si="124"/>
        <v>987179.27212845965</v>
      </c>
      <c r="BB164">
        <f t="shared" si="125"/>
        <v>0</v>
      </c>
      <c r="BC164" s="29">
        <v>503392.51067423198</v>
      </c>
      <c r="BD164">
        <f t="shared" si="126"/>
        <v>3624426.0768544702</v>
      </c>
      <c r="BE164">
        <f t="shared" si="127"/>
        <v>5177751.5383635294</v>
      </c>
      <c r="BF164">
        <f t="shared" si="128"/>
        <v>43.147929486362749</v>
      </c>
      <c r="BG164">
        <f t="shared" si="129"/>
        <v>173.03823790574677</v>
      </c>
      <c r="BH164">
        <f t="shared" si="130"/>
        <v>895949.0025121948</v>
      </c>
      <c r="BI164">
        <f t="shared" si="131"/>
        <v>0</v>
      </c>
      <c r="BJ164" s="29">
        <v>505096.080922733</v>
      </c>
      <c r="BK164">
        <f t="shared" si="132"/>
        <v>3636691.7826436777</v>
      </c>
      <c r="BL164">
        <f t="shared" si="133"/>
        <v>5195273.9752052538</v>
      </c>
      <c r="BM164">
        <f t="shared" si="134"/>
        <v>43.293949793377116</v>
      </c>
      <c r="BN164">
        <f t="shared" si="135"/>
        <v>172.93629920084993</v>
      </c>
      <c r="BO164">
        <f t="shared" si="136"/>
        <v>898451.45460648474</v>
      </c>
      <c r="BP164">
        <f t="shared" si="137"/>
        <v>0</v>
      </c>
    </row>
    <row r="165" spans="1:68" x14ac:dyDescent="0.25">
      <c r="A165">
        <v>16</v>
      </c>
      <c r="B165">
        <v>20</v>
      </c>
      <c r="C165">
        <f t="shared" ref="C165:C173" si="139">$AB$10</f>
        <v>1.8800000000000001E-2</v>
      </c>
      <c r="D165">
        <v>0.06</v>
      </c>
      <c r="E165">
        <f t="shared" si="87"/>
        <v>0.11280000000000001</v>
      </c>
      <c r="F165" s="29">
        <v>499996.8</v>
      </c>
      <c r="G165">
        <f t="shared" si="88"/>
        <v>3599976.96</v>
      </c>
      <c r="H165">
        <f t="shared" si="89"/>
        <v>5142824.2285714289</v>
      </c>
      <c r="I165">
        <f t="shared" si="90"/>
        <v>42.856868571428571</v>
      </c>
      <c r="J165">
        <f t="shared" si="91"/>
        <v>173.24143137466308</v>
      </c>
      <c r="K165">
        <f t="shared" si="92"/>
        <v>890950.2306660118</v>
      </c>
      <c r="L165">
        <f t="shared" si="93"/>
        <v>1004.9918601912614</v>
      </c>
      <c r="M165" s="7">
        <v>517500.182100092</v>
      </c>
      <c r="N165">
        <f t="shared" si="94"/>
        <v>3726001.3111206624</v>
      </c>
      <c r="O165">
        <f t="shared" si="95"/>
        <v>5322859.0158866597</v>
      </c>
      <c r="P165">
        <f t="shared" si="96"/>
        <v>44.357158465722165</v>
      </c>
      <c r="Q165">
        <f t="shared" si="97"/>
        <v>172.19405918430718</v>
      </c>
      <c r="R165">
        <f t="shared" si="98"/>
        <v>916564.70041131054</v>
      </c>
      <c r="S165">
        <f t="shared" si="99"/>
        <v>1033.8849820639584</v>
      </c>
      <c r="T165" s="29">
        <v>526251.15040314302</v>
      </c>
      <c r="U165">
        <f t="shared" si="83"/>
        <v>3789008.28290263</v>
      </c>
      <c r="V165">
        <f t="shared" si="84"/>
        <v>5412868.9755751854</v>
      </c>
      <c r="W165">
        <f t="shared" si="85"/>
        <v>45.107241463126542</v>
      </c>
      <c r="X165">
        <f t="shared" si="100"/>
        <v>171.67041633706259</v>
      </c>
      <c r="Y165">
        <f t="shared" si="101"/>
        <v>929229.47061496146</v>
      </c>
      <c r="Z165">
        <f t="shared" si="102"/>
        <v>1048.1708428536767</v>
      </c>
      <c r="AA165" s="29">
        <v>526253.31757718604</v>
      </c>
      <c r="AB165">
        <f t="shared" si="86"/>
        <v>3789023.8865557397</v>
      </c>
      <c r="AC165">
        <f t="shared" si="103"/>
        <v>5412891.2665081993</v>
      </c>
      <c r="AD165">
        <f t="shared" si="104"/>
        <v>45.107427220901656</v>
      </c>
      <c r="AE165">
        <f t="shared" si="105"/>
        <v>171.6702866571064</v>
      </c>
      <c r="AF165">
        <f t="shared" si="106"/>
        <v>929232.59536521032</v>
      </c>
      <c r="AG165">
        <f t="shared" si="107"/>
        <v>1048.1743675719574</v>
      </c>
      <c r="AH165" s="29">
        <v>539381.57636577904</v>
      </c>
      <c r="AI165">
        <f t="shared" si="108"/>
        <v>3883547.3498336091</v>
      </c>
      <c r="AJ165">
        <f t="shared" si="109"/>
        <v>5547924.785476584</v>
      </c>
      <c r="AK165">
        <f t="shared" si="110"/>
        <v>46.232706545638202</v>
      </c>
      <c r="AL165">
        <f t="shared" si="111"/>
        <v>170.88471429832805</v>
      </c>
      <c r="AM165">
        <f t="shared" si="112"/>
        <v>948055.54191477899</v>
      </c>
      <c r="AN165">
        <f t="shared" si="113"/>
        <v>1069.4066512798709</v>
      </c>
      <c r="AO165" s="29">
        <v>486350.27630584</v>
      </c>
      <c r="AP165">
        <f t="shared" si="114"/>
        <v>3501721.9894020483</v>
      </c>
      <c r="AQ165">
        <f t="shared" si="115"/>
        <v>5002459.9848600691</v>
      </c>
      <c r="AR165">
        <f t="shared" si="116"/>
        <v>41.687166540500577</v>
      </c>
      <c r="AS165">
        <f t="shared" si="117"/>
        <v>174.05801581134864</v>
      </c>
      <c r="AT165">
        <f t="shared" si="118"/>
        <v>870718.25914041279</v>
      </c>
      <c r="AU165">
        <f t="shared" si="119"/>
        <v>982.17019631038568</v>
      </c>
      <c r="AV165" s="29">
        <v>472612.35850470199</v>
      </c>
      <c r="AW165">
        <f t="shared" si="120"/>
        <v>3402808.9812338543</v>
      </c>
      <c r="AX165">
        <f t="shared" si="121"/>
        <v>4861155.6874769349</v>
      </c>
      <c r="AY165">
        <f t="shared" si="122"/>
        <v>40.509630728974457</v>
      </c>
      <c r="AZ165">
        <f t="shared" si="123"/>
        <v>174.88006911373481</v>
      </c>
      <c r="BA165">
        <f t="shared" si="124"/>
        <v>850119.24259859149</v>
      </c>
      <c r="BB165">
        <f t="shared" si="125"/>
        <v>958.93450565121123</v>
      </c>
      <c r="BC165" s="29">
        <v>487022.65228332998</v>
      </c>
      <c r="BD165">
        <f t="shared" si="126"/>
        <v>3506563.0964399758</v>
      </c>
      <c r="BE165">
        <f t="shared" si="127"/>
        <v>5009375.8520571077</v>
      </c>
      <c r="BF165">
        <f t="shared" si="128"/>
        <v>41.744798767142562</v>
      </c>
      <c r="BG165">
        <f t="shared" si="129"/>
        <v>174.01778199274952</v>
      </c>
      <c r="BH165">
        <f t="shared" si="130"/>
        <v>871720.47494301759</v>
      </c>
      <c r="BI165">
        <f t="shared" si="131"/>
        <v>983.30069573572393</v>
      </c>
      <c r="BJ165" s="29">
        <v>480548.228747088</v>
      </c>
      <c r="BK165">
        <f t="shared" si="132"/>
        <v>3459947.2469790336</v>
      </c>
      <c r="BL165">
        <f t="shared" si="133"/>
        <v>4942781.7813986195</v>
      </c>
      <c r="BM165">
        <f t="shared" si="134"/>
        <v>41.189848178321832</v>
      </c>
      <c r="BN165">
        <f t="shared" si="135"/>
        <v>174.40520032834135</v>
      </c>
      <c r="BO165">
        <f t="shared" si="136"/>
        <v>862046.84676410223</v>
      </c>
      <c r="BP165">
        <f t="shared" si="137"/>
        <v>972.38884314990742</v>
      </c>
    </row>
    <row r="166" spans="1:68" x14ac:dyDescent="0.25">
      <c r="A166">
        <v>16</v>
      </c>
      <c r="B166">
        <v>40</v>
      </c>
      <c r="C166">
        <f t="shared" si="139"/>
        <v>1.8800000000000001E-2</v>
      </c>
      <c r="D166">
        <v>0.113</v>
      </c>
      <c r="E166">
        <f t="shared" si="87"/>
        <v>0.21244000000000002</v>
      </c>
      <c r="F166" s="29">
        <v>499996.8</v>
      </c>
      <c r="G166">
        <f t="shared" si="88"/>
        <v>3599976.96</v>
      </c>
      <c r="H166">
        <f t="shared" si="89"/>
        <v>5142824.2285714289</v>
      </c>
      <c r="I166">
        <f t="shared" si="90"/>
        <v>42.856868571428571</v>
      </c>
      <c r="J166">
        <f t="shared" si="91"/>
        <v>173.24143137466308</v>
      </c>
      <c r="K166">
        <f t="shared" si="92"/>
        <v>890950.2306660118</v>
      </c>
      <c r="L166">
        <f t="shared" si="93"/>
        <v>1892.7346700268756</v>
      </c>
      <c r="M166" s="7">
        <v>495374.56017884199</v>
      </c>
      <c r="N166">
        <f t="shared" si="94"/>
        <v>3566696.8332876624</v>
      </c>
      <c r="O166">
        <f t="shared" si="95"/>
        <v>5095281.1904109465</v>
      </c>
      <c r="P166">
        <f t="shared" si="96"/>
        <v>42.460676586757891</v>
      </c>
      <c r="Q166">
        <f t="shared" si="97"/>
        <v>173.518018231886</v>
      </c>
      <c r="R166">
        <f t="shared" si="98"/>
        <v>884123.09449431242</v>
      </c>
      <c r="S166">
        <f t="shared" si="99"/>
        <v>1878.2311019437175</v>
      </c>
      <c r="T166" s="29">
        <v>493062.678393321</v>
      </c>
      <c r="U166">
        <f t="shared" si="83"/>
        <v>3550051.2844319111</v>
      </c>
      <c r="V166">
        <f t="shared" si="84"/>
        <v>5071501.8349027298</v>
      </c>
      <c r="W166">
        <f t="shared" si="85"/>
        <v>42.262515290856086</v>
      </c>
      <c r="X166">
        <f t="shared" si="100"/>
        <v>173.65635724977972</v>
      </c>
      <c r="Y166">
        <f t="shared" si="101"/>
        <v>880698.53443478176</v>
      </c>
      <c r="Z166">
        <f t="shared" si="102"/>
        <v>1870.9559665532506</v>
      </c>
      <c r="AA166" s="29">
        <v>493064.96369036299</v>
      </c>
      <c r="AB166">
        <f t="shared" si="86"/>
        <v>3550067.7385706138</v>
      </c>
      <c r="AC166">
        <f t="shared" si="103"/>
        <v>5071525.3408151623</v>
      </c>
      <c r="AD166">
        <f t="shared" si="104"/>
        <v>42.262711173459685</v>
      </c>
      <c r="AE166">
        <f t="shared" si="105"/>
        <v>173.65622050154701</v>
      </c>
      <c r="AF166">
        <f t="shared" si="106"/>
        <v>880701.92286378122</v>
      </c>
      <c r="AG166">
        <f t="shared" si="107"/>
        <v>1870.9631649318171</v>
      </c>
      <c r="AH166" s="29">
        <v>489599.04553554399</v>
      </c>
      <c r="AI166">
        <f t="shared" si="108"/>
        <v>3525113.127855917</v>
      </c>
      <c r="AJ166">
        <f t="shared" si="109"/>
        <v>5035875.8969370248</v>
      </c>
      <c r="AK166">
        <f t="shared" si="110"/>
        <v>41.965632474475207</v>
      </c>
      <c r="AL166">
        <f t="shared" si="111"/>
        <v>173.86361506498901</v>
      </c>
      <c r="AM166">
        <f t="shared" si="112"/>
        <v>875555.58846011502</v>
      </c>
      <c r="AN166">
        <f t="shared" si="113"/>
        <v>1860.0302921246684</v>
      </c>
      <c r="AO166" s="29">
        <v>421119.35330540501</v>
      </c>
      <c r="AP166">
        <f t="shared" si="114"/>
        <v>3032059.3437989163</v>
      </c>
      <c r="AQ166">
        <f t="shared" si="115"/>
        <v>4331513.3482841663</v>
      </c>
      <c r="AR166">
        <f t="shared" si="116"/>
        <v>36.095944569034721</v>
      </c>
      <c r="AS166">
        <f t="shared" si="117"/>
        <v>177.9613217159569</v>
      </c>
      <c r="AT166">
        <f t="shared" si="118"/>
        <v>770841.84049096028</v>
      </c>
      <c r="AU166">
        <f t="shared" si="119"/>
        <v>1637.5764059389962</v>
      </c>
      <c r="AV166" s="29">
        <v>342056.29671031702</v>
      </c>
      <c r="AW166">
        <f t="shared" si="120"/>
        <v>2462805.3363142828</v>
      </c>
      <c r="AX166">
        <f t="shared" si="121"/>
        <v>3518293.3375918325</v>
      </c>
      <c r="AY166">
        <f t="shared" si="122"/>
        <v>29.319111146598601</v>
      </c>
      <c r="AZ166">
        <f t="shared" si="123"/>
        <v>182.69231863350663</v>
      </c>
      <c r="BA166">
        <f t="shared" si="124"/>
        <v>642765.16747747047</v>
      </c>
      <c r="BB166">
        <f t="shared" si="125"/>
        <v>1365.4903217891385</v>
      </c>
      <c r="BC166" s="29">
        <v>425938.10690478998</v>
      </c>
      <c r="BD166">
        <f t="shared" si="126"/>
        <v>3066754.3697144878</v>
      </c>
      <c r="BE166">
        <f t="shared" si="127"/>
        <v>4381077.6710206969</v>
      </c>
      <c r="BF166">
        <f t="shared" si="128"/>
        <v>36.508980591839141</v>
      </c>
      <c r="BG166">
        <f t="shared" si="129"/>
        <v>177.67297581324436</v>
      </c>
      <c r="BH166">
        <f t="shared" si="130"/>
        <v>778399.10707920522</v>
      </c>
      <c r="BI166">
        <f t="shared" si="131"/>
        <v>1653.6310630790638</v>
      </c>
      <c r="BJ166" s="29">
        <v>388999.80971712101</v>
      </c>
      <c r="BK166">
        <f t="shared" si="132"/>
        <v>2800798.6299632713</v>
      </c>
      <c r="BL166">
        <f t="shared" si="133"/>
        <v>4001140.8999475311</v>
      </c>
      <c r="BM166">
        <f t="shared" si="134"/>
        <v>33.342840832896094</v>
      </c>
      <c r="BN166">
        <f t="shared" si="135"/>
        <v>179.88329979590273</v>
      </c>
      <c r="BO166">
        <f t="shared" si="136"/>
        <v>719738.42803090974</v>
      </c>
      <c r="BP166">
        <f t="shared" si="137"/>
        <v>1529.0123165088648</v>
      </c>
    </row>
    <row r="167" spans="1:68" x14ac:dyDescent="0.25">
      <c r="A167">
        <v>16</v>
      </c>
      <c r="B167">
        <v>60</v>
      </c>
      <c r="C167">
        <f t="shared" si="139"/>
        <v>1.8800000000000001E-2</v>
      </c>
      <c r="D167">
        <v>0.153</v>
      </c>
      <c r="E167">
        <f t="shared" si="87"/>
        <v>0.28764000000000001</v>
      </c>
      <c r="F167" s="29">
        <v>499996.8</v>
      </c>
      <c r="G167">
        <f t="shared" si="88"/>
        <v>3599976.96</v>
      </c>
      <c r="H167">
        <f t="shared" si="89"/>
        <v>5142824.2285714289</v>
      </c>
      <c r="I167">
        <f t="shared" si="90"/>
        <v>42.856868571428571</v>
      </c>
      <c r="J167">
        <f t="shared" si="91"/>
        <v>173.24143137466308</v>
      </c>
      <c r="K167">
        <f t="shared" si="92"/>
        <v>890950.2306660118</v>
      </c>
      <c r="L167">
        <f t="shared" si="93"/>
        <v>2562.7292434877163</v>
      </c>
      <c r="M167" s="7">
        <v>446052.55332133401</v>
      </c>
      <c r="N167">
        <f t="shared" si="94"/>
        <v>3211578.383913605</v>
      </c>
      <c r="O167">
        <f t="shared" si="95"/>
        <v>4587969.1198765785</v>
      </c>
      <c r="P167">
        <f t="shared" si="96"/>
        <v>38.233075998971486</v>
      </c>
      <c r="Q167">
        <f t="shared" si="97"/>
        <v>176.46936203845388</v>
      </c>
      <c r="R167">
        <f t="shared" si="98"/>
        <v>809635.98363674653</v>
      </c>
      <c r="S167">
        <f t="shared" si="99"/>
        <v>2328.8369433327375</v>
      </c>
      <c r="T167" s="29">
        <v>419076.26700876799</v>
      </c>
      <c r="U167">
        <f t="shared" si="83"/>
        <v>3017349.1224631295</v>
      </c>
      <c r="V167">
        <f t="shared" si="84"/>
        <v>4310498.7463758998</v>
      </c>
      <c r="W167">
        <f t="shared" si="85"/>
        <v>35.920822886465835</v>
      </c>
      <c r="X167">
        <f t="shared" si="100"/>
        <v>178.08357647548613</v>
      </c>
      <c r="Y167">
        <f t="shared" si="101"/>
        <v>767629.03314771957</v>
      </c>
      <c r="Z167">
        <f t="shared" si="102"/>
        <v>2208.0081509461006</v>
      </c>
      <c r="AA167" s="29">
        <v>419088.75447257102</v>
      </c>
      <c r="AB167">
        <f t="shared" si="86"/>
        <v>3017439.0322025116</v>
      </c>
      <c r="AC167">
        <f t="shared" si="103"/>
        <v>4310627.1888607303</v>
      </c>
      <c r="AD167">
        <f t="shared" si="104"/>
        <v>35.921893240506087</v>
      </c>
      <c r="AE167">
        <f t="shared" si="105"/>
        <v>178.08282924719387</v>
      </c>
      <c r="AF167">
        <f t="shared" si="106"/>
        <v>767648.68562219676</v>
      </c>
      <c r="AG167">
        <f t="shared" si="107"/>
        <v>2208.0646793236865</v>
      </c>
      <c r="AH167" s="29">
        <v>378634.731708857</v>
      </c>
      <c r="AI167">
        <f t="shared" si="108"/>
        <v>2726170.0683037704</v>
      </c>
      <c r="AJ167">
        <f t="shared" si="109"/>
        <v>3894528.6690053865</v>
      </c>
      <c r="AK167">
        <f t="shared" si="110"/>
        <v>32.454405575044888</v>
      </c>
      <c r="AL167">
        <f t="shared" si="111"/>
        <v>180.50352818345922</v>
      </c>
      <c r="AM167">
        <f t="shared" si="112"/>
        <v>702976.16536710365</v>
      </c>
      <c r="AN167">
        <f t="shared" si="113"/>
        <v>2022.0406420619368</v>
      </c>
      <c r="AO167" s="29">
        <v>335068.97098036902</v>
      </c>
      <c r="AP167">
        <f t="shared" si="114"/>
        <v>2412496.591058657</v>
      </c>
      <c r="AQ167">
        <f t="shared" si="115"/>
        <v>3446423.7015123675</v>
      </c>
      <c r="AR167">
        <f t="shared" si="116"/>
        <v>28.720197512603065</v>
      </c>
      <c r="AS167">
        <f t="shared" si="117"/>
        <v>183.11042815157899</v>
      </c>
      <c r="AT167">
        <f t="shared" si="118"/>
        <v>631076.1195756793</v>
      </c>
      <c r="AU167">
        <f t="shared" si="119"/>
        <v>1815.2273503474839</v>
      </c>
      <c r="AV167" s="29">
        <v>169890.582766915</v>
      </c>
      <c r="AW167">
        <f t="shared" si="120"/>
        <v>1223212.195921788</v>
      </c>
      <c r="AX167">
        <f t="shared" si="121"/>
        <v>1747445.9941739826</v>
      </c>
      <c r="AY167">
        <f t="shared" si="122"/>
        <v>14.562049951449856</v>
      </c>
      <c r="AZ167">
        <f t="shared" si="123"/>
        <v>192.99441795842179</v>
      </c>
      <c r="BA167">
        <f t="shared" si="124"/>
        <v>337247.32255938352</v>
      </c>
      <c r="BB167">
        <f t="shared" si="125"/>
        <v>970.05819860981069</v>
      </c>
      <c r="BC167" s="29">
        <v>308513.47862807597</v>
      </c>
      <c r="BD167">
        <f t="shared" si="126"/>
        <v>2221297.0461221472</v>
      </c>
      <c r="BE167">
        <f t="shared" si="127"/>
        <v>3173281.4944602102</v>
      </c>
      <c r="BF167">
        <f t="shared" si="128"/>
        <v>26.444012453835086</v>
      </c>
      <c r="BG167">
        <f t="shared" si="129"/>
        <v>184.69946300392644</v>
      </c>
      <c r="BH167">
        <f t="shared" si="130"/>
        <v>586103.38798709796</v>
      </c>
      <c r="BI167">
        <f t="shared" si="131"/>
        <v>1685.8677852060885</v>
      </c>
      <c r="BJ167" s="29">
        <v>212959.36928805301</v>
      </c>
      <c r="BK167">
        <f t="shared" si="132"/>
        <v>1533307.4588739818</v>
      </c>
      <c r="BL167">
        <f t="shared" si="133"/>
        <v>2190439.2269628313</v>
      </c>
      <c r="BM167">
        <f t="shared" si="134"/>
        <v>18.253660224690261</v>
      </c>
      <c r="BN167">
        <f t="shared" si="135"/>
        <v>190.41725606955586</v>
      </c>
      <c r="BO167">
        <f t="shared" si="136"/>
        <v>417097.42718538147</v>
      </c>
      <c r="BP167">
        <f t="shared" si="137"/>
        <v>1199.7390395560312</v>
      </c>
    </row>
    <row r="168" spans="1:68" x14ac:dyDescent="0.25">
      <c r="A168">
        <v>16</v>
      </c>
      <c r="B168">
        <v>80</v>
      </c>
      <c r="C168">
        <f t="shared" si="139"/>
        <v>1.8800000000000001E-2</v>
      </c>
      <c r="D168">
        <v>0.17399999999999999</v>
      </c>
      <c r="E168">
        <f t="shared" si="87"/>
        <v>0.32711999999999997</v>
      </c>
      <c r="F168" s="29">
        <v>499996.8</v>
      </c>
      <c r="G168">
        <f t="shared" si="88"/>
        <v>3599976.96</v>
      </c>
      <c r="H168">
        <f t="shared" si="89"/>
        <v>5142824.2285714289</v>
      </c>
      <c r="I168">
        <f t="shared" si="90"/>
        <v>42.856868571428571</v>
      </c>
      <c r="J168">
        <f t="shared" si="91"/>
        <v>173.24143137466308</v>
      </c>
      <c r="K168">
        <f t="shared" si="92"/>
        <v>890950.2306660118</v>
      </c>
      <c r="L168">
        <f t="shared" si="93"/>
        <v>2914.4763945546574</v>
      </c>
      <c r="M168" s="7">
        <v>404312.79181229102</v>
      </c>
      <c r="N168">
        <f t="shared" si="94"/>
        <v>2911052.1010484956</v>
      </c>
      <c r="O168">
        <f t="shared" si="95"/>
        <v>4158645.858640708</v>
      </c>
      <c r="P168">
        <f t="shared" si="96"/>
        <v>34.655382155339232</v>
      </c>
      <c r="Q168">
        <f t="shared" si="97"/>
        <v>178.96699736325374</v>
      </c>
      <c r="R168">
        <f t="shared" si="98"/>
        <v>744260.36241805763</v>
      </c>
      <c r="S168">
        <f t="shared" si="99"/>
        <v>2434.6244975419499</v>
      </c>
      <c r="T168" s="29">
        <v>356474.91924274701</v>
      </c>
      <c r="U168">
        <f t="shared" si="83"/>
        <v>2566619.4185477784</v>
      </c>
      <c r="V168">
        <f t="shared" si="84"/>
        <v>3666599.1693539694</v>
      </c>
      <c r="W168">
        <f t="shared" si="85"/>
        <v>30.554993077949742</v>
      </c>
      <c r="X168">
        <f t="shared" si="100"/>
        <v>181.82953313426151</v>
      </c>
      <c r="Y168">
        <f t="shared" si="101"/>
        <v>666696.01515410328</v>
      </c>
      <c r="Z168">
        <f t="shared" si="102"/>
        <v>2180.8960047721025</v>
      </c>
      <c r="AA168" s="29">
        <v>356462.52490072203</v>
      </c>
      <c r="AB168">
        <f t="shared" si="86"/>
        <v>2566530.1792851985</v>
      </c>
      <c r="AC168">
        <f t="shared" si="103"/>
        <v>3666471.6846931404</v>
      </c>
      <c r="AD168">
        <f t="shared" si="104"/>
        <v>30.553930705776171</v>
      </c>
      <c r="AE168">
        <f t="shared" si="105"/>
        <v>181.83027479030721</v>
      </c>
      <c r="AF168">
        <f t="shared" si="106"/>
        <v>666675.55393863434</v>
      </c>
      <c r="AG168">
        <f t="shared" si="107"/>
        <v>2180.8290720440605</v>
      </c>
      <c r="AH168" s="29">
        <v>284695.38735108299</v>
      </c>
      <c r="AI168">
        <f t="shared" si="108"/>
        <v>2049806.7889277975</v>
      </c>
      <c r="AJ168">
        <f t="shared" si="109"/>
        <v>2928295.4127539964</v>
      </c>
      <c r="AK168">
        <f t="shared" si="110"/>
        <v>24.40246177294997</v>
      </c>
      <c r="AL168">
        <f t="shared" si="111"/>
        <v>186.12469649812925</v>
      </c>
      <c r="AM168">
        <f t="shared" si="112"/>
        <v>545028.09495570173</v>
      </c>
      <c r="AN168">
        <f t="shared" si="113"/>
        <v>1782.8959042190913</v>
      </c>
      <c r="AO168" s="29">
        <v>241042.09572200899</v>
      </c>
      <c r="AP168">
        <f t="shared" si="114"/>
        <v>1735503.0891984648</v>
      </c>
      <c r="AQ168">
        <f t="shared" si="115"/>
        <v>2479290.1274263784</v>
      </c>
      <c r="AR168">
        <f t="shared" si="116"/>
        <v>20.660751061886486</v>
      </c>
      <c r="AS168">
        <f t="shared" si="117"/>
        <v>188.73683416434341</v>
      </c>
      <c r="AT168">
        <f t="shared" si="118"/>
        <v>467933.36962536623</v>
      </c>
      <c r="AU168">
        <f t="shared" si="119"/>
        <v>1530.7036387184978</v>
      </c>
      <c r="AV168" s="29">
        <v>0</v>
      </c>
      <c r="AW168">
        <f t="shared" si="120"/>
        <v>0</v>
      </c>
      <c r="AX168">
        <f t="shared" si="121"/>
        <v>0</v>
      </c>
      <c r="AY168">
        <f t="shared" si="122"/>
        <v>0</v>
      </c>
      <c r="AZ168">
        <f t="shared" si="123"/>
        <v>203.16037735849056</v>
      </c>
      <c r="BA168">
        <f t="shared" si="124"/>
        <v>0</v>
      </c>
      <c r="BB168">
        <f t="shared" si="125"/>
        <v>0</v>
      </c>
      <c r="BC168" s="29">
        <v>185626.24069287599</v>
      </c>
      <c r="BD168">
        <f t="shared" si="126"/>
        <v>1336508.9329887072</v>
      </c>
      <c r="BE168">
        <f t="shared" si="127"/>
        <v>1909298.4756981533</v>
      </c>
      <c r="BF168">
        <f t="shared" si="128"/>
        <v>15.910820630817945</v>
      </c>
      <c r="BG168">
        <f t="shared" si="129"/>
        <v>192.05282333320255</v>
      </c>
      <c r="BH168">
        <f t="shared" si="130"/>
        <v>366686.16284361033</v>
      </c>
      <c r="BI168">
        <f t="shared" si="131"/>
        <v>1199.503775894018</v>
      </c>
      <c r="BJ168" s="29">
        <v>28524.3386493652</v>
      </c>
      <c r="BK168">
        <f t="shared" si="132"/>
        <v>205375.23827542944</v>
      </c>
      <c r="BL168">
        <f t="shared" si="133"/>
        <v>293393.19753632776</v>
      </c>
      <c r="BM168">
        <f t="shared" si="134"/>
        <v>2.4449433128027316</v>
      </c>
      <c r="BN168">
        <f t="shared" si="135"/>
        <v>201.45353014011886</v>
      </c>
      <c r="BO168">
        <f t="shared" si="136"/>
        <v>59105.095362790453</v>
      </c>
      <c r="BP168">
        <f t="shared" si="137"/>
        <v>193.34458795076011</v>
      </c>
    </row>
    <row r="169" spans="1:68" x14ac:dyDescent="0.25">
      <c r="A169">
        <v>16</v>
      </c>
      <c r="B169">
        <v>100</v>
      </c>
      <c r="C169">
        <f t="shared" si="139"/>
        <v>1.8800000000000001E-2</v>
      </c>
      <c r="D169">
        <v>0.17399999999999999</v>
      </c>
      <c r="E169">
        <f t="shared" si="87"/>
        <v>0.32711999999999997</v>
      </c>
      <c r="F169" s="29">
        <v>499996.8</v>
      </c>
      <c r="G169">
        <f t="shared" si="88"/>
        <v>3599976.96</v>
      </c>
      <c r="H169">
        <f t="shared" si="89"/>
        <v>5142824.2285714289</v>
      </c>
      <c r="I169">
        <f t="shared" si="90"/>
        <v>42.856868571428571</v>
      </c>
      <c r="J169">
        <f t="shared" si="91"/>
        <v>173.24143137466308</v>
      </c>
      <c r="K169">
        <f t="shared" si="92"/>
        <v>890950.2306660118</v>
      </c>
      <c r="L169">
        <f t="shared" si="93"/>
        <v>2914.4763945546574</v>
      </c>
      <c r="M169" s="7">
        <v>405648.11342655303</v>
      </c>
      <c r="N169">
        <f t="shared" si="94"/>
        <v>2920666.416671182</v>
      </c>
      <c r="O169">
        <f t="shared" si="95"/>
        <v>4172380.5952445455</v>
      </c>
      <c r="P169">
        <f t="shared" si="96"/>
        <v>34.769838293704545</v>
      </c>
      <c r="Q169">
        <f t="shared" si="97"/>
        <v>178.88709402137607</v>
      </c>
      <c r="R169">
        <f t="shared" si="98"/>
        <v>746385.03983447608</v>
      </c>
      <c r="S169">
        <f t="shared" si="99"/>
        <v>2441.5747423065377</v>
      </c>
      <c r="T169" s="29">
        <v>358496.14925318799</v>
      </c>
      <c r="U169">
        <f t="shared" si="83"/>
        <v>2581172.2746229535</v>
      </c>
      <c r="V169">
        <f t="shared" si="84"/>
        <v>3687388.9637470767</v>
      </c>
      <c r="W169">
        <f t="shared" si="85"/>
        <v>30.728241364558976</v>
      </c>
      <c r="X169">
        <f t="shared" si="100"/>
        <v>181.70858621719466</v>
      </c>
      <c r="Y169">
        <f t="shared" si="101"/>
        <v>670030.23543536779</v>
      </c>
      <c r="Z169">
        <f t="shared" si="102"/>
        <v>2191.8029061561751</v>
      </c>
      <c r="AA169" s="29">
        <v>358428.99985184701</v>
      </c>
      <c r="AB169">
        <f t="shared" si="86"/>
        <v>2580688.7989332983</v>
      </c>
      <c r="AC169">
        <f t="shared" si="103"/>
        <v>3686698.2841904261</v>
      </c>
      <c r="AD169">
        <f t="shared" si="104"/>
        <v>30.722485701586884</v>
      </c>
      <c r="AE169">
        <f t="shared" si="105"/>
        <v>181.71260432153369</v>
      </c>
      <c r="AF169">
        <f t="shared" si="106"/>
        <v>669919.54656797205</v>
      </c>
      <c r="AG169">
        <f t="shared" si="107"/>
        <v>2191.4408207331498</v>
      </c>
      <c r="AH169" s="29">
        <v>287645.09977777099</v>
      </c>
      <c r="AI169">
        <f t="shared" si="108"/>
        <v>2071044.7183999512</v>
      </c>
      <c r="AJ169">
        <f t="shared" si="109"/>
        <v>2958635.3119999301</v>
      </c>
      <c r="AK169">
        <f t="shared" si="110"/>
        <v>24.655294266666086</v>
      </c>
      <c r="AL169">
        <f t="shared" si="111"/>
        <v>185.94819079496895</v>
      </c>
      <c r="AM169">
        <f t="shared" si="112"/>
        <v>550152.88348849548</v>
      </c>
      <c r="AN169">
        <f t="shared" si="113"/>
        <v>1799.6601124675663</v>
      </c>
      <c r="AO169" s="29">
        <v>160020.710755685</v>
      </c>
      <c r="AP169">
        <f t="shared" si="114"/>
        <v>1152149.117440932</v>
      </c>
      <c r="AQ169">
        <f t="shared" si="115"/>
        <v>1645927.3106299029</v>
      </c>
      <c r="AR169">
        <f t="shared" si="116"/>
        <v>13.716060921915856</v>
      </c>
      <c r="AS169">
        <f t="shared" si="117"/>
        <v>193.58501407337948</v>
      </c>
      <c r="AT169">
        <f t="shared" si="118"/>
        <v>318626.86159204942</v>
      </c>
      <c r="AU169">
        <f t="shared" si="119"/>
        <v>1042.2921896399121</v>
      </c>
      <c r="AV169" s="29">
        <v>0</v>
      </c>
      <c r="AW169">
        <f t="shared" si="120"/>
        <v>0</v>
      </c>
      <c r="AX169">
        <f t="shared" si="121"/>
        <v>0</v>
      </c>
      <c r="AY169">
        <f t="shared" si="122"/>
        <v>0</v>
      </c>
      <c r="AZ169">
        <f t="shared" si="123"/>
        <v>203.16037735849056</v>
      </c>
      <c r="BA169">
        <f t="shared" si="124"/>
        <v>0</v>
      </c>
      <c r="BB169">
        <f t="shared" si="125"/>
        <v>0</v>
      </c>
      <c r="BC169" s="29">
        <v>132075.95563139801</v>
      </c>
      <c r="BD169">
        <f t="shared" si="126"/>
        <v>950946.88054606575</v>
      </c>
      <c r="BE169">
        <f t="shared" si="127"/>
        <v>1358495.5436372368</v>
      </c>
      <c r="BF169">
        <f t="shared" si="128"/>
        <v>11.320796196976975</v>
      </c>
      <c r="BG169">
        <f t="shared" si="129"/>
        <v>195.25718001343117</v>
      </c>
      <c r="BH169">
        <f t="shared" si="130"/>
        <v>265256.00891142001</v>
      </c>
      <c r="BI169">
        <f t="shared" si="131"/>
        <v>867.70545635103701</v>
      </c>
      <c r="BJ169" s="29">
        <v>0</v>
      </c>
      <c r="BK169">
        <f t="shared" si="132"/>
        <v>0</v>
      </c>
      <c r="BL169">
        <f t="shared" si="133"/>
        <v>0</v>
      </c>
      <c r="BM169">
        <f t="shared" si="134"/>
        <v>0</v>
      </c>
      <c r="BN169">
        <f t="shared" si="135"/>
        <v>203.16037735849056</v>
      </c>
      <c r="BO169">
        <f t="shared" si="136"/>
        <v>0</v>
      </c>
      <c r="BP169">
        <f t="shared" si="137"/>
        <v>0</v>
      </c>
    </row>
    <row r="170" spans="1:68" x14ac:dyDescent="0.25">
      <c r="A170">
        <v>16</v>
      </c>
      <c r="B170">
        <v>120</v>
      </c>
      <c r="C170">
        <f t="shared" si="139"/>
        <v>1.8800000000000001E-2</v>
      </c>
      <c r="D170">
        <v>0.153</v>
      </c>
      <c r="E170">
        <f t="shared" si="87"/>
        <v>0.28764000000000001</v>
      </c>
      <c r="F170" s="29">
        <v>499996.8</v>
      </c>
      <c r="G170">
        <f t="shared" si="88"/>
        <v>3599976.96</v>
      </c>
      <c r="H170">
        <f t="shared" si="89"/>
        <v>5142824.2285714289</v>
      </c>
      <c r="I170">
        <f t="shared" si="90"/>
        <v>42.856868571428571</v>
      </c>
      <c r="J170">
        <f t="shared" si="91"/>
        <v>173.24143137466308</v>
      </c>
      <c r="K170">
        <f t="shared" si="92"/>
        <v>890950.2306660118</v>
      </c>
      <c r="L170">
        <f t="shared" si="93"/>
        <v>2562.7292434877163</v>
      </c>
      <c r="M170" s="7">
        <v>450629.88151615101</v>
      </c>
      <c r="N170">
        <f t="shared" si="94"/>
        <v>3244535.1469162875</v>
      </c>
      <c r="O170">
        <f t="shared" si="95"/>
        <v>4635050.2098804107</v>
      </c>
      <c r="P170">
        <f t="shared" si="96"/>
        <v>38.62541841567009</v>
      </c>
      <c r="Q170">
        <f t="shared" si="97"/>
        <v>176.19546261547561</v>
      </c>
      <c r="R170">
        <f t="shared" si="98"/>
        <v>816674.81597583625</v>
      </c>
      <c r="S170">
        <f t="shared" si="99"/>
        <v>2349.0834406728954</v>
      </c>
      <c r="T170" s="29">
        <v>425966.22080876201</v>
      </c>
      <c r="U170">
        <f t="shared" si="83"/>
        <v>3066956.7898230865</v>
      </c>
      <c r="V170">
        <f t="shared" si="84"/>
        <v>4381366.842604409</v>
      </c>
      <c r="W170">
        <f t="shared" si="85"/>
        <v>36.511390355036738</v>
      </c>
      <c r="X170">
        <f t="shared" si="100"/>
        <v>177.67129352572908</v>
      </c>
      <c r="Y170">
        <f t="shared" si="101"/>
        <v>778443.1143362649</v>
      </c>
      <c r="Z170">
        <f t="shared" si="102"/>
        <v>2239.1137740768322</v>
      </c>
      <c r="AA170" s="29">
        <v>425906.79547647899</v>
      </c>
      <c r="AB170">
        <f t="shared" si="86"/>
        <v>3066528.9274306488</v>
      </c>
      <c r="AC170">
        <f t="shared" si="103"/>
        <v>4380755.6106152125</v>
      </c>
      <c r="AD170">
        <f t="shared" si="104"/>
        <v>36.506296755126769</v>
      </c>
      <c r="AE170">
        <f t="shared" si="105"/>
        <v>177.67484943510019</v>
      </c>
      <c r="AF170">
        <f t="shared" si="106"/>
        <v>778350.09352802823</v>
      </c>
      <c r="AG170">
        <f t="shared" si="107"/>
        <v>2238.8462090240205</v>
      </c>
      <c r="AH170" s="29">
        <v>388861.79321471899</v>
      </c>
      <c r="AI170">
        <f t="shared" si="108"/>
        <v>2799804.9111459767</v>
      </c>
      <c r="AJ170">
        <f t="shared" si="109"/>
        <v>3999721.3016371098</v>
      </c>
      <c r="AK170">
        <f t="shared" si="110"/>
        <v>33.331010846975914</v>
      </c>
      <c r="AL170">
        <f t="shared" si="111"/>
        <v>179.8915584653187</v>
      </c>
      <c r="AM170">
        <f t="shared" si="112"/>
        <v>719516.0983784328</v>
      </c>
      <c r="AN170">
        <f t="shared" si="113"/>
        <v>2069.6161053757241</v>
      </c>
      <c r="AO170" s="29">
        <v>113086.095754229</v>
      </c>
      <c r="AP170">
        <f t="shared" si="114"/>
        <v>814219.88943044876</v>
      </c>
      <c r="AQ170">
        <f t="shared" si="115"/>
        <v>1163171.2706149267</v>
      </c>
      <c r="AR170">
        <f t="shared" si="116"/>
        <v>9.6930939217910552</v>
      </c>
      <c r="AS170">
        <f t="shared" si="117"/>
        <v>196.39350046969304</v>
      </c>
      <c r="AT170">
        <f t="shared" si="118"/>
        <v>228439.27748184607</v>
      </c>
      <c r="AU170">
        <f t="shared" si="119"/>
        <v>657.08273774878205</v>
      </c>
      <c r="AV170" s="29">
        <v>0</v>
      </c>
      <c r="AW170">
        <f t="shared" si="120"/>
        <v>0</v>
      </c>
      <c r="AX170">
        <f t="shared" si="121"/>
        <v>0</v>
      </c>
      <c r="AY170">
        <f t="shared" si="122"/>
        <v>0</v>
      </c>
      <c r="AZ170">
        <f t="shared" si="123"/>
        <v>203.16037735849056</v>
      </c>
      <c r="BA170">
        <f t="shared" si="124"/>
        <v>0</v>
      </c>
      <c r="BB170">
        <f t="shared" si="125"/>
        <v>0</v>
      </c>
      <c r="BC170" s="29">
        <v>180604.99080753399</v>
      </c>
      <c r="BD170">
        <f t="shared" si="126"/>
        <v>1300355.9338142448</v>
      </c>
      <c r="BE170">
        <f t="shared" si="127"/>
        <v>1857651.3340203499</v>
      </c>
      <c r="BF170">
        <f t="shared" si="128"/>
        <v>15.480427783502916</v>
      </c>
      <c r="BG170">
        <f t="shared" si="129"/>
        <v>192.35328626434702</v>
      </c>
      <c r="BH170">
        <f t="shared" si="130"/>
        <v>357325.3388321625</v>
      </c>
      <c r="BI170">
        <f t="shared" si="131"/>
        <v>1027.8106046168321</v>
      </c>
      <c r="BJ170" s="29">
        <v>20250.6049218849</v>
      </c>
      <c r="BK170">
        <f t="shared" si="132"/>
        <v>145804.3554375713</v>
      </c>
      <c r="BL170">
        <f t="shared" si="133"/>
        <v>208291.93633938755</v>
      </c>
      <c r="BM170">
        <f t="shared" si="134"/>
        <v>1.7357661361615631</v>
      </c>
      <c r="BN170">
        <f t="shared" si="135"/>
        <v>201.94861609362306</v>
      </c>
      <c r="BO170">
        <f t="shared" si="136"/>
        <v>42064.268287200357</v>
      </c>
      <c r="BP170">
        <f t="shared" si="137"/>
        <v>120.99366130130311</v>
      </c>
    </row>
    <row r="171" spans="1:68" x14ac:dyDescent="0.25">
      <c r="A171">
        <v>16</v>
      </c>
      <c r="B171">
        <v>140</v>
      </c>
      <c r="C171">
        <f t="shared" si="139"/>
        <v>1.8800000000000001E-2</v>
      </c>
      <c r="D171">
        <v>0.113</v>
      </c>
      <c r="E171">
        <f t="shared" si="87"/>
        <v>0.21244000000000002</v>
      </c>
      <c r="F171" s="29">
        <v>499996.8</v>
      </c>
      <c r="G171">
        <f t="shared" si="88"/>
        <v>3599976.96</v>
      </c>
      <c r="H171">
        <f t="shared" si="89"/>
        <v>5142824.2285714289</v>
      </c>
      <c r="I171">
        <f t="shared" si="90"/>
        <v>42.856868571428571</v>
      </c>
      <c r="J171">
        <f t="shared" si="91"/>
        <v>173.24143137466308</v>
      </c>
      <c r="K171">
        <f t="shared" si="92"/>
        <v>890950.2306660118</v>
      </c>
      <c r="L171">
        <f t="shared" si="93"/>
        <v>1892.7346700268756</v>
      </c>
      <c r="M171" s="7">
        <v>499534.91883507598</v>
      </c>
      <c r="N171">
        <f t="shared" si="94"/>
        <v>3596651.4156125472</v>
      </c>
      <c r="O171">
        <f t="shared" si="95"/>
        <v>5138073.4508750681</v>
      </c>
      <c r="P171">
        <f t="shared" si="96"/>
        <v>42.817278757292236</v>
      </c>
      <c r="Q171">
        <f t="shared" si="97"/>
        <v>173.26906954679598</v>
      </c>
      <c r="R171">
        <f t="shared" si="98"/>
        <v>890269.20609621808</v>
      </c>
      <c r="S171">
        <f t="shared" si="99"/>
        <v>1891.287901430806</v>
      </c>
      <c r="T171" s="29">
        <v>499300.5808698</v>
      </c>
      <c r="U171">
        <f t="shared" si="83"/>
        <v>3594964.1822625599</v>
      </c>
      <c r="V171">
        <f t="shared" si="84"/>
        <v>5135663.1175179435</v>
      </c>
      <c r="W171">
        <f t="shared" si="85"/>
        <v>42.797192645982861</v>
      </c>
      <c r="X171">
        <f t="shared" si="100"/>
        <v>173.28309192638932</v>
      </c>
      <c r="Y171">
        <f t="shared" si="101"/>
        <v>889923.58409582893</v>
      </c>
      <c r="Z171">
        <f t="shared" si="102"/>
        <v>1890.5536620531791</v>
      </c>
      <c r="AA171" s="29">
        <v>499310.77844120498</v>
      </c>
      <c r="AB171">
        <f t="shared" si="86"/>
        <v>3595037.6047766758</v>
      </c>
      <c r="AC171">
        <f t="shared" si="103"/>
        <v>5135768.0068238229</v>
      </c>
      <c r="AD171">
        <f t="shared" si="104"/>
        <v>42.798066723531861</v>
      </c>
      <c r="AE171">
        <f t="shared" si="105"/>
        <v>173.28248172130793</v>
      </c>
      <c r="AF171">
        <f t="shared" si="106"/>
        <v>889938.62576732715</v>
      </c>
      <c r="AG171">
        <f t="shared" si="107"/>
        <v>1890.5856165801099</v>
      </c>
      <c r="AH171" s="29">
        <v>498967.767661808</v>
      </c>
      <c r="AI171">
        <f t="shared" si="108"/>
        <v>3592567.9271650175</v>
      </c>
      <c r="AJ171">
        <f t="shared" si="109"/>
        <v>5132239.8959500249</v>
      </c>
      <c r="AK171">
        <f t="shared" si="110"/>
        <v>42.768665799583538</v>
      </c>
      <c r="AL171">
        <f t="shared" si="111"/>
        <v>173.30300689463036</v>
      </c>
      <c r="AM171">
        <f t="shared" si="112"/>
        <v>889432.6060727241</v>
      </c>
      <c r="AN171">
        <f t="shared" si="113"/>
        <v>1889.5106283408952</v>
      </c>
      <c r="AO171" s="29">
        <v>114791.11166795999</v>
      </c>
      <c r="AP171">
        <f t="shared" si="114"/>
        <v>826496.00400931202</v>
      </c>
      <c r="AQ171">
        <f t="shared" si="115"/>
        <v>1180708.57715616</v>
      </c>
      <c r="AR171">
        <f t="shared" si="116"/>
        <v>9.839238142968</v>
      </c>
      <c r="AS171">
        <f t="shared" si="117"/>
        <v>196.29147525868271</v>
      </c>
      <c r="AT171">
        <f t="shared" si="118"/>
        <v>231763.02846056287</v>
      </c>
      <c r="AU171">
        <f t="shared" si="119"/>
        <v>492.35737766161981</v>
      </c>
      <c r="AV171" s="29">
        <v>0</v>
      </c>
      <c r="AW171">
        <f t="shared" si="120"/>
        <v>0</v>
      </c>
      <c r="AX171">
        <f t="shared" si="121"/>
        <v>0</v>
      </c>
      <c r="AY171">
        <f t="shared" si="122"/>
        <v>0</v>
      </c>
      <c r="AZ171">
        <f t="shared" si="123"/>
        <v>203.16037735849056</v>
      </c>
      <c r="BA171">
        <f t="shared" si="124"/>
        <v>0</v>
      </c>
      <c r="BB171">
        <f t="shared" si="125"/>
        <v>0</v>
      </c>
      <c r="BC171" s="29">
        <v>295029.63077567698</v>
      </c>
      <c r="BD171">
        <f t="shared" si="126"/>
        <v>2124213.3415848743</v>
      </c>
      <c r="BE171">
        <f t="shared" si="127"/>
        <v>3034590.4879783918</v>
      </c>
      <c r="BF171">
        <f t="shared" si="128"/>
        <v>25.288254066486598</v>
      </c>
      <c r="BG171">
        <f t="shared" si="129"/>
        <v>185.50631319886784</v>
      </c>
      <c r="BH171">
        <f t="shared" si="130"/>
        <v>562935.6934932248</v>
      </c>
      <c r="BI171">
        <f t="shared" si="131"/>
        <v>1195.9005872570069</v>
      </c>
      <c r="BJ171" s="29">
        <v>191910.17710373699</v>
      </c>
      <c r="BK171">
        <f t="shared" si="132"/>
        <v>1381753.2751469063</v>
      </c>
      <c r="BL171">
        <f t="shared" si="133"/>
        <v>1973933.2502098663</v>
      </c>
      <c r="BM171">
        <f t="shared" si="134"/>
        <v>16.449443751748888</v>
      </c>
      <c r="BN171">
        <f t="shared" si="135"/>
        <v>191.6768034185904</v>
      </c>
      <c r="BO171">
        <f t="shared" si="136"/>
        <v>378357.21556189575</v>
      </c>
      <c r="BP171">
        <f t="shared" si="137"/>
        <v>803.78206873969145</v>
      </c>
    </row>
    <row r="172" spans="1:68" x14ac:dyDescent="0.25">
      <c r="A172">
        <v>16</v>
      </c>
      <c r="B172">
        <v>160</v>
      </c>
      <c r="C172">
        <f t="shared" si="139"/>
        <v>1.8800000000000001E-2</v>
      </c>
      <c r="D172">
        <v>0.06</v>
      </c>
      <c r="E172">
        <f t="shared" si="87"/>
        <v>0.11280000000000001</v>
      </c>
      <c r="F172" s="29">
        <v>499996.8</v>
      </c>
      <c r="G172">
        <f t="shared" si="88"/>
        <v>3599976.96</v>
      </c>
      <c r="H172">
        <f t="shared" si="89"/>
        <v>5142824.2285714289</v>
      </c>
      <c r="I172">
        <f t="shared" si="90"/>
        <v>42.856868571428571</v>
      </c>
      <c r="J172">
        <f t="shared" si="91"/>
        <v>173.24143137466308</v>
      </c>
      <c r="K172">
        <f t="shared" si="92"/>
        <v>890950.2306660118</v>
      </c>
      <c r="L172">
        <f t="shared" si="93"/>
        <v>1004.9918601912614</v>
      </c>
      <c r="M172" s="7">
        <v>508779.00461744802</v>
      </c>
      <c r="N172">
        <f t="shared" si="94"/>
        <v>3663208.8332456257</v>
      </c>
      <c r="O172">
        <f t="shared" si="95"/>
        <v>5233155.4760651793</v>
      </c>
      <c r="P172">
        <f t="shared" si="96"/>
        <v>43.609628967209829</v>
      </c>
      <c r="Q172">
        <f t="shared" si="97"/>
        <v>172.71591940024973</v>
      </c>
      <c r="R172">
        <f t="shared" si="98"/>
        <v>903849.25941304897</v>
      </c>
      <c r="S172">
        <f t="shared" si="99"/>
        <v>1019.5419646179193</v>
      </c>
      <c r="T172" s="29">
        <v>513183.47193690902</v>
      </c>
      <c r="U172">
        <f t="shared" si="83"/>
        <v>3694920.997945745</v>
      </c>
      <c r="V172">
        <f t="shared" si="84"/>
        <v>5278458.5684939213</v>
      </c>
      <c r="W172">
        <f t="shared" si="85"/>
        <v>43.987154737449345</v>
      </c>
      <c r="X172">
        <f t="shared" si="100"/>
        <v>172.45236367385613</v>
      </c>
      <c r="Y172">
        <f t="shared" si="101"/>
        <v>910282.65669129579</v>
      </c>
      <c r="Z172">
        <f t="shared" si="102"/>
        <v>1026.7988367477817</v>
      </c>
      <c r="AA172" s="29">
        <v>513143.30328030302</v>
      </c>
      <c r="AB172">
        <f t="shared" si="86"/>
        <v>3694631.7836181819</v>
      </c>
      <c r="AC172">
        <f t="shared" si="103"/>
        <v>5278045.4051688313</v>
      </c>
      <c r="AD172">
        <f t="shared" si="104"/>
        <v>43.983711709740263</v>
      </c>
      <c r="AE172">
        <f t="shared" si="105"/>
        <v>172.45476729697378</v>
      </c>
      <c r="AF172">
        <f t="shared" si="106"/>
        <v>910224.09213125252</v>
      </c>
      <c r="AG172">
        <f t="shared" si="107"/>
        <v>1026.7327759240529</v>
      </c>
      <c r="AH172" s="29">
        <v>519716.55492045498</v>
      </c>
      <c r="AI172">
        <f t="shared" si="108"/>
        <v>3741959.1954272757</v>
      </c>
      <c r="AJ172">
        <f t="shared" si="109"/>
        <v>5345655.9934675368</v>
      </c>
      <c r="AK172">
        <f t="shared" si="110"/>
        <v>44.54713327889614</v>
      </c>
      <c r="AL172">
        <f t="shared" si="111"/>
        <v>172.06143525812911</v>
      </c>
      <c r="AM172">
        <f t="shared" si="112"/>
        <v>919781.24263224448</v>
      </c>
      <c r="AN172">
        <f t="shared" si="113"/>
        <v>1037.5132416891718</v>
      </c>
      <c r="AO172" s="29">
        <v>168825.42609617399</v>
      </c>
      <c r="AP172">
        <f t="shared" si="114"/>
        <v>1215543.0678924527</v>
      </c>
      <c r="AQ172">
        <f t="shared" si="115"/>
        <v>1736490.0969892181</v>
      </c>
      <c r="AR172">
        <f t="shared" si="116"/>
        <v>14.470750808243483</v>
      </c>
      <c r="AS172">
        <f t="shared" si="117"/>
        <v>193.05815509613191</v>
      </c>
      <c r="AT172">
        <f t="shared" si="118"/>
        <v>335243.57446744159</v>
      </c>
      <c r="AU172">
        <f t="shared" si="119"/>
        <v>378.15475199927414</v>
      </c>
      <c r="AV172" s="29">
        <v>0</v>
      </c>
      <c r="AW172">
        <f t="shared" si="120"/>
        <v>0</v>
      </c>
      <c r="AX172">
        <f t="shared" si="121"/>
        <v>0</v>
      </c>
      <c r="AY172">
        <f t="shared" si="122"/>
        <v>0</v>
      </c>
      <c r="AZ172">
        <f t="shared" si="123"/>
        <v>203.16037735849056</v>
      </c>
      <c r="BA172">
        <f t="shared" si="124"/>
        <v>0</v>
      </c>
      <c r="BB172">
        <f t="shared" si="125"/>
        <v>0</v>
      </c>
      <c r="BC172" s="29">
        <v>407430.242997077</v>
      </c>
      <c r="BD172">
        <f t="shared" si="126"/>
        <v>2933497.7495789547</v>
      </c>
      <c r="BE172">
        <f t="shared" si="127"/>
        <v>4190711.0708270781</v>
      </c>
      <c r="BF172">
        <f t="shared" si="128"/>
        <v>34.922592256892315</v>
      </c>
      <c r="BG172">
        <f t="shared" si="129"/>
        <v>178.78045446216953</v>
      </c>
      <c r="BH172">
        <f t="shared" si="130"/>
        <v>749217.22976211016</v>
      </c>
      <c r="BI172">
        <f t="shared" si="131"/>
        <v>845.11703517166029</v>
      </c>
      <c r="BJ172" s="29">
        <v>360817.35795946303</v>
      </c>
      <c r="BK172">
        <f t="shared" si="132"/>
        <v>2597884.9773081341</v>
      </c>
      <c r="BL172">
        <f t="shared" si="133"/>
        <v>3711264.2532973345</v>
      </c>
      <c r="BM172">
        <f t="shared" si="134"/>
        <v>30.92720211081112</v>
      </c>
      <c r="BN172">
        <f t="shared" si="135"/>
        <v>181.56968909245262</v>
      </c>
      <c r="BO172">
        <f t="shared" si="136"/>
        <v>673853.0966111304</v>
      </c>
      <c r="BP172">
        <f t="shared" si="137"/>
        <v>760.10629297735511</v>
      </c>
    </row>
    <row r="173" spans="1:68" x14ac:dyDescent="0.25">
      <c r="A173">
        <v>16</v>
      </c>
      <c r="B173">
        <v>180</v>
      </c>
      <c r="C173">
        <f t="shared" si="139"/>
        <v>1.8800000000000001E-2</v>
      </c>
      <c r="D173">
        <v>0</v>
      </c>
      <c r="E173">
        <f t="shared" si="87"/>
        <v>0</v>
      </c>
      <c r="F173" s="29">
        <v>499996.8</v>
      </c>
      <c r="G173">
        <f t="shared" si="88"/>
        <v>3599976.96</v>
      </c>
      <c r="H173">
        <f t="shared" si="89"/>
        <v>5142824.2285714289</v>
      </c>
      <c r="I173">
        <f t="shared" si="90"/>
        <v>42.856868571428571</v>
      </c>
      <c r="J173">
        <f t="shared" si="91"/>
        <v>173.24143137466308</v>
      </c>
      <c r="K173">
        <f t="shared" si="92"/>
        <v>890950.2306660118</v>
      </c>
      <c r="L173">
        <f t="shared" si="93"/>
        <v>0</v>
      </c>
      <c r="M173" s="7">
        <v>471659.792247415</v>
      </c>
      <c r="N173">
        <f t="shared" si="94"/>
        <v>3395950.5041813878</v>
      </c>
      <c r="O173">
        <f t="shared" si="95"/>
        <v>4851357.863116269</v>
      </c>
      <c r="P173">
        <f t="shared" si="96"/>
        <v>40.427982192635575</v>
      </c>
      <c r="Q173">
        <f t="shared" si="97"/>
        <v>174.93706903532987</v>
      </c>
      <c r="R173">
        <f t="shared" si="98"/>
        <v>848682.32541506109</v>
      </c>
      <c r="S173">
        <f t="shared" si="99"/>
        <v>0</v>
      </c>
      <c r="T173" s="29">
        <v>457553.74299609702</v>
      </c>
      <c r="U173">
        <f t="shared" si="83"/>
        <v>3294386.9495718987</v>
      </c>
      <c r="V173">
        <f t="shared" si="84"/>
        <v>4706267.0708169984</v>
      </c>
      <c r="W173">
        <f t="shared" si="85"/>
        <v>39.218892256808317</v>
      </c>
      <c r="X173">
        <f t="shared" si="100"/>
        <v>175.78115068864327</v>
      </c>
      <c r="Y173">
        <f t="shared" si="101"/>
        <v>827273.04115628253</v>
      </c>
      <c r="Z173">
        <f t="shared" si="102"/>
        <v>0</v>
      </c>
      <c r="AA173" s="29">
        <v>457366.25433600001</v>
      </c>
      <c r="AB173">
        <f t="shared" si="86"/>
        <v>3293037.0312192002</v>
      </c>
      <c r="AC173">
        <f t="shared" si="103"/>
        <v>4704338.6160274297</v>
      </c>
      <c r="AD173">
        <f t="shared" si="104"/>
        <v>39.202821800228584</v>
      </c>
      <c r="AE173">
        <f t="shared" si="105"/>
        <v>175.79236968663287</v>
      </c>
      <c r="AF173">
        <f t="shared" si="106"/>
        <v>826986.83311979671</v>
      </c>
      <c r="AG173">
        <f t="shared" si="107"/>
        <v>0</v>
      </c>
      <c r="AH173" s="29">
        <v>436050.98150400002</v>
      </c>
      <c r="AI173">
        <f t="shared" si="108"/>
        <v>3139567.0668288004</v>
      </c>
      <c r="AJ173">
        <f t="shared" si="109"/>
        <v>4485095.8097554296</v>
      </c>
      <c r="AK173">
        <f t="shared" si="110"/>
        <v>37.375798414628584</v>
      </c>
      <c r="AL173">
        <f t="shared" si="111"/>
        <v>177.06783884261779</v>
      </c>
      <c r="AM173">
        <f t="shared" si="112"/>
        <v>794166.22203547473</v>
      </c>
      <c r="AN173">
        <f t="shared" si="113"/>
        <v>0</v>
      </c>
      <c r="AO173" s="29">
        <v>266733.23979894299</v>
      </c>
      <c r="AP173">
        <f t="shared" si="114"/>
        <v>1920479.3265523897</v>
      </c>
      <c r="AQ173">
        <f t="shared" si="115"/>
        <v>2743541.895074842</v>
      </c>
      <c r="AR173">
        <f t="shared" si="116"/>
        <v>22.862849125623683</v>
      </c>
      <c r="AS173">
        <f t="shared" si="117"/>
        <v>187.19952042173441</v>
      </c>
      <c r="AT173">
        <f t="shared" si="118"/>
        <v>513589.72701494681</v>
      </c>
      <c r="AU173">
        <f t="shared" si="119"/>
        <v>0</v>
      </c>
      <c r="AV173" s="29">
        <v>34549.936692708201</v>
      </c>
      <c r="AW173">
        <f t="shared" si="120"/>
        <v>248759.54418749906</v>
      </c>
      <c r="AX173">
        <f t="shared" si="121"/>
        <v>355370.77741071297</v>
      </c>
      <c r="AY173">
        <f t="shared" si="122"/>
        <v>2.9614231450892747</v>
      </c>
      <c r="AZ173">
        <f t="shared" si="123"/>
        <v>201.09296874776786</v>
      </c>
      <c r="BA173">
        <f t="shared" si="124"/>
        <v>71462.564635722476</v>
      </c>
      <c r="BB173">
        <f t="shared" si="125"/>
        <v>0</v>
      </c>
      <c r="BC173" s="29">
        <v>476438.48864920699</v>
      </c>
      <c r="BD173">
        <f t="shared" si="126"/>
        <v>3430357.1182742906</v>
      </c>
      <c r="BE173">
        <f t="shared" si="127"/>
        <v>4900510.1689632721</v>
      </c>
      <c r="BF173">
        <f t="shared" si="128"/>
        <v>40.837584741360601</v>
      </c>
      <c r="BG173">
        <f t="shared" si="129"/>
        <v>174.65112008621995</v>
      </c>
      <c r="BH173">
        <f t="shared" si="130"/>
        <v>855879.59000334644</v>
      </c>
      <c r="BI173">
        <f t="shared" si="131"/>
        <v>0</v>
      </c>
      <c r="BJ173" s="29">
        <v>464554.69044612598</v>
      </c>
      <c r="BK173">
        <f t="shared" si="132"/>
        <v>3344793.771212107</v>
      </c>
      <c r="BL173">
        <f t="shared" si="133"/>
        <v>4778276.8160172952</v>
      </c>
      <c r="BM173">
        <f t="shared" si="134"/>
        <v>39.818973466810796</v>
      </c>
      <c r="BN173">
        <f t="shared" si="135"/>
        <v>175.36222607033963</v>
      </c>
      <c r="BO173">
        <f t="shared" si="136"/>
        <v>837929.25923708756</v>
      </c>
      <c r="BP173">
        <f t="shared" si="137"/>
        <v>0</v>
      </c>
    </row>
    <row r="174" spans="1:68" x14ac:dyDescent="0.25">
      <c r="A174">
        <v>18</v>
      </c>
      <c r="B174">
        <v>0</v>
      </c>
      <c r="C174">
        <f>$AB$11</f>
        <v>7.4000000000000003E-3</v>
      </c>
      <c r="D174" cm="1">
        <f t="array" ref="D174:D183">$AD$2:$AD$11</f>
        <v>0</v>
      </c>
      <c r="E174">
        <f t="shared" si="87"/>
        <v>0</v>
      </c>
      <c r="F174" s="29">
        <v>499996.8</v>
      </c>
      <c r="G174">
        <f t="shared" si="88"/>
        <v>3599976.96</v>
      </c>
      <c r="H174">
        <f t="shared" si="89"/>
        <v>5142824.2285714289</v>
      </c>
      <c r="I174">
        <f t="shared" si="90"/>
        <v>42.856868571428571</v>
      </c>
      <c r="J174">
        <f t="shared" si="91"/>
        <v>173.24143137466308</v>
      </c>
      <c r="K174">
        <f t="shared" si="92"/>
        <v>890950.2306660118</v>
      </c>
      <c r="L174">
        <f t="shared" si="93"/>
        <v>0</v>
      </c>
      <c r="M174" s="7">
        <v>506147.25994750398</v>
      </c>
      <c r="N174">
        <f t="shared" si="94"/>
        <v>3644260.2716220287</v>
      </c>
      <c r="O174">
        <f t="shared" si="95"/>
        <v>5206086.1023171842</v>
      </c>
      <c r="P174">
        <f t="shared" si="96"/>
        <v>43.384050852643199</v>
      </c>
      <c r="Q174">
        <f t="shared" si="97"/>
        <v>172.87339846136229</v>
      </c>
      <c r="R174">
        <f t="shared" si="98"/>
        <v>899993.79719003907</v>
      </c>
      <c r="S174">
        <f t="shared" si="99"/>
        <v>0</v>
      </c>
      <c r="T174" s="29">
        <v>509216.18385889003</v>
      </c>
      <c r="U174">
        <f t="shared" si="83"/>
        <v>3666356.5237840083</v>
      </c>
      <c r="V174">
        <f t="shared" si="84"/>
        <v>5237652.1768342983</v>
      </c>
      <c r="W174">
        <f t="shared" si="85"/>
        <v>43.647101473619152</v>
      </c>
      <c r="X174">
        <f t="shared" si="100"/>
        <v>172.68975934860549</v>
      </c>
      <c r="Y174">
        <f t="shared" si="101"/>
        <v>904488.89396921464</v>
      </c>
      <c r="Z174">
        <f t="shared" si="102"/>
        <v>0</v>
      </c>
      <c r="AA174" s="29">
        <v>509235.10790399997</v>
      </c>
      <c r="AB174">
        <f t="shared" si="86"/>
        <v>3666492.7769088</v>
      </c>
      <c r="AC174">
        <f t="shared" si="103"/>
        <v>5237846.8241554284</v>
      </c>
      <c r="AD174">
        <f t="shared" si="104"/>
        <v>43.648723534628573</v>
      </c>
      <c r="AE174">
        <f t="shared" si="105"/>
        <v>172.68862696639138</v>
      </c>
      <c r="AF174">
        <f t="shared" si="106"/>
        <v>904516.57632367453</v>
      </c>
      <c r="AG174">
        <f t="shared" si="107"/>
        <v>0</v>
      </c>
      <c r="AH174" s="29">
        <v>513854.261856</v>
      </c>
      <c r="AI174">
        <f t="shared" si="108"/>
        <v>3699750.6853632</v>
      </c>
      <c r="AJ174">
        <f t="shared" si="109"/>
        <v>5285358.1219474291</v>
      </c>
      <c r="AK174">
        <f t="shared" si="110"/>
        <v>44.044651016228578</v>
      </c>
      <c r="AL174">
        <f t="shared" si="111"/>
        <v>172.41222476225553</v>
      </c>
      <c r="AM174">
        <f t="shared" si="112"/>
        <v>911260.35247021297</v>
      </c>
      <c r="AN174">
        <f t="shared" si="113"/>
        <v>0</v>
      </c>
      <c r="AO174" s="29">
        <v>550609.01705685805</v>
      </c>
      <c r="AP174">
        <f t="shared" si="114"/>
        <v>3964384.9228093782</v>
      </c>
      <c r="AQ174">
        <f t="shared" si="115"/>
        <v>5663407.0325848265</v>
      </c>
      <c r="AR174">
        <f t="shared" si="116"/>
        <v>47.195058604873559</v>
      </c>
      <c r="AS174">
        <f t="shared" si="117"/>
        <v>170.21288361546561</v>
      </c>
      <c r="AT174">
        <f t="shared" si="118"/>
        <v>963984.84210437059</v>
      </c>
      <c r="AU174">
        <f t="shared" si="119"/>
        <v>0</v>
      </c>
      <c r="AV174" s="29">
        <v>601112.30686547095</v>
      </c>
      <c r="AW174">
        <f t="shared" si="120"/>
        <v>4328008.6094313907</v>
      </c>
      <c r="AX174">
        <f t="shared" si="121"/>
        <v>6182869.4420448439</v>
      </c>
      <c r="AY174">
        <f t="shared" si="122"/>
        <v>51.52391201704036</v>
      </c>
      <c r="AZ174">
        <f t="shared" si="123"/>
        <v>167.19085387489636</v>
      </c>
      <c r="BA174">
        <f t="shared" si="124"/>
        <v>1033719.2214124815</v>
      </c>
      <c r="BB174">
        <f t="shared" si="125"/>
        <v>0</v>
      </c>
      <c r="BC174" s="29">
        <v>505110.11030892603</v>
      </c>
      <c r="BD174">
        <f t="shared" si="126"/>
        <v>3636792.7942242674</v>
      </c>
      <c r="BE174">
        <f t="shared" si="127"/>
        <v>5195418.2774632396</v>
      </c>
      <c r="BF174">
        <f t="shared" si="128"/>
        <v>43.295152312193665</v>
      </c>
      <c r="BG174">
        <f t="shared" si="129"/>
        <v>172.93545970658178</v>
      </c>
      <c r="BH174">
        <f t="shared" si="130"/>
        <v>898472.04818108259</v>
      </c>
      <c r="BI174">
        <f t="shared" si="131"/>
        <v>0</v>
      </c>
      <c r="BJ174" s="29">
        <v>507677.32849725703</v>
      </c>
      <c r="BK174">
        <f t="shared" si="132"/>
        <v>3655276.7651802506</v>
      </c>
      <c r="BL174">
        <f t="shared" si="133"/>
        <v>5221823.9502575006</v>
      </c>
      <c r="BM174">
        <f t="shared" si="134"/>
        <v>43.515199585479174</v>
      </c>
      <c r="BN174">
        <f t="shared" si="135"/>
        <v>172.78184179881643</v>
      </c>
      <c r="BO174">
        <f t="shared" si="136"/>
        <v>902236.35967466212</v>
      </c>
      <c r="BP174">
        <f t="shared" si="137"/>
        <v>0</v>
      </c>
    </row>
    <row r="175" spans="1:68" x14ac:dyDescent="0.25">
      <c r="A175">
        <v>18</v>
      </c>
      <c r="B175">
        <v>20</v>
      </c>
      <c r="C175">
        <f>$AB$11</f>
        <v>7.4000000000000003E-3</v>
      </c>
      <c r="D175">
        <v>0.06</v>
      </c>
      <c r="E175">
        <f t="shared" si="87"/>
        <v>4.4400000000000002E-2</v>
      </c>
      <c r="F175" s="29">
        <v>499996.8</v>
      </c>
      <c r="G175">
        <f t="shared" si="88"/>
        <v>3599976.96</v>
      </c>
      <c r="H175">
        <f t="shared" si="89"/>
        <v>5142824.2285714289</v>
      </c>
      <c r="I175">
        <f t="shared" si="90"/>
        <v>42.856868571428571</v>
      </c>
      <c r="J175">
        <f t="shared" si="91"/>
        <v>173.24143137466308</v>
      </c>
      <c r="K175">
        <f t="shared" si="92"/>
        <v>890950.2306660118</v>
      </c>
      <c r="L175">
        <f t="shared" si="93"/>
        <v>395.58190241570924</v>
      </c>
      <c r="M175" s="7">
        <v>526000.51652499405</v>
      </c>
      <c r="N175">
        <f t="shared" si="94"/>
        <v>3787203.718979957</v>
      </c>
      <c r="O175">
        <f t="shared" si="95"/>
        <v>5410291.0271142246</v>
      </c>
      <c r="P175">
        <f t="shared" si="96"/>
        <v>45.085758559285203</v>
      </c>
      <c r="Q175">
        <f t="shared" si="97"/>
        <v>171.68541383597071</v>
      </c>
      <c r="R175">
        <f t="shared" si="98"/>
        <v>928868.05396314466</v>
      </c>
      <c r="S175">
        <f t="shared" si="99"/>
        <v>412.41741595963623</v>
      </c>
      <c r="T175" s="29">
        <v>539000.35455401603</v>
      </c>
      <c r="U175">
        <f t="shared" si="83"/>
        <v>3880802.5527889156</v>
      </c>
      <c r="V175">
        <f t="shared" si="84"/>
        <v>5544003.6468413081</v>
      </c>
      <c r="W175">
        <f t="shared" si="85"/>
        <v>46.200030390344232</v>
      </c>
      <c r="X175">
        <f t="shared" si="100"/>
        <v>170.90752595391064</v>
      </c>
      <c r="Y175">
        <f t="shared" si="101"/>
        <v>947511.94716110616</v>
      </c>
      <c r="Z175">
        <f t="shared" si="102"/>
        <v>420.69530453953115</v>
      </c>
      <c r="AA175" s="29">
        <v>539006.41237378004</v>
      </c>
      <c r="AB175">
        <f t="shared" si="86"/>
        <v>3880846.1690912163</v>
      </c>
      <c r="AC175">
        <f t="shared" si="103"/>
        <v>5544065.9558445951</v>
      </c>
      <c r="AD175">
        <f t="shared" si="104"/>
        <v>46.200549632038296</v>
      </c>
      <c r="AE175">
        <f t="shared" si="105"/>
        <v>170.90716346442611</v>
      </c>
      <c r="AF175">
        <f t="shared" si="106"/>
        <v>947520.58657309203</v>
      </c>
      <c r="AG175">
        <f t="shared" si="107"/>
        <v>420.69914043845284</v>
      </c>
      <c r="AH175" s="29">
        <v>558511.21856067097</v>
      </c>
      <c r="AI175">
        <f t="shared" si="108"/>
        <v>4021280.773636831</v>
      </c>
      <c r="AJ175">
        <f t="shared" si="109"/>
        <v>5744686.8194811875</v>
      </c>
      <c r="AK175">
        <f t="shared" si="110"/>
        <v>47.872390162343237</v>
      </c>
      <c r="AL175">
        <f t="shared" si="111"/>
        <v>169.74002950930756</v>
      </c>
      <c r="AM175">
        <f t="shared" si="112"/>
        <v>975103.31026046688</v>
      </c>
      <c r="AN175">
        <f t="shared" si="113"/>
        <v>432.94586975564732</v>
      </c>
      <c r="AO175" s="29">
        <v>486001.99838538701</v>
      </c>
      <c r="AP175">
        <f t="shared" si="114"/>
        <v>3499214.3883747864</v>
      </c>
      <c r="AQ175">
        <f t="shared" si="115"/>
        <v>4998877.6976782661</v>
      </c>
      <c r="AR175">
        <f t="shared" si="116"/>
        <v>41.657314147318885</v>
      </c>
      <c r="AS175">
        <f t="shared" si="117"/>
        <v>174.07885616130568</v>
      </c>
      <c r="AT175">
        <f t="shared" si="118"/>
        <v>870198.91170209378</v>
      </c>
      <c r="AU175">
        <f t="shared" si="119"/>
        <v>386.36831679572964</v>
      </c>
      <c r="AV175" s="29">
        <v>471851.71633751201</v>
      </c>
      <c r="AW175">
        <f t="shared" si="120"/>
        <v>3397332.3576300866</v>
      </c>
      <c r="AX175">
        <f t="shared" si="121"/>
        <v>4853331.9394715521</v>
      </c>
      <c r="AY175">
        <f t="shared" si="122"/>
        <v>40.4444328289296</v>
      </c>
      <c r="AZ175">
        <f t="shared" si="123"/>
        <v>174.92558462886046</v>
      </c>
      <c r="BA175">
        <f t="shared" si="124"/>
        <v>848971.92690998246</v>
      </c>
      <c r="BB175">
        <f t="shared" si="125"/>
        <v>376.94353554803223</v>
      </c>
      <c r="BC175" s="29">
        <v>484125.96038584702</v>
      </c>
      <c r="BD175">
        <f t="shared" si="126"/>
        <v>3485706.9147780985</v>
      </c>
      <c r="BE175">
        <f t="shared" si="127"/>
        <v>4979581.3068258548</v>
      </c>
      <c r="BF175">
        <f t="shared" si="128"/>
        <v>41.496510890215454</v>
      </c>
      <c r="BG175">
        <f t="shared" si="129"/>
        <v>174.19111503890619</v>
      </c>
      <c r="BH175">
        <f t="shared" si="130"/>
        <v>867398.82026288926</v>
      </c>
      <c r="BI175">
        <f t="shared" si="131"/>
        <v>385.12507619672283</v>
      </c>
      <c r="BJ175" s="29">
        <v>476208.89716687799</v>
      </c>
      <c r="BK175">
        <f t="shared" si="132"/>
        <v>3428704.0596015216</v>
      </c>
      <c r="BL175">
        <f t="shared" si="133"/>
        <v>4898148.656573602</v>
      </c>
      <c r="BM175">
        <f t="shared" si="134"/>
        <v>40.817905471446686</v>
      </c>
      <c r="BN175">
        <f t="shared" si="135"/>
        <v>174.66485844446174</v>
      </c>
      <c r="BO175">
        <f t="shared" si="136"/>
        <v>855534.4417403586</v>
      </c>
      <c r="BP175">
        <f t="shared" si="137"/>
        <v>379.85729213271924</v>
      </c>
    </row>
    <row r="176" spans="1:68" x14ac:dyDescent="0.25">
      <c r="A176">
        <v>18</v>
      </c>
      <c r="B176">
        <v>40</v>
      </c>
      <c r="C176">
        <f t="shared" ref="C176:C183" si="140">$AB$11</f>
        <v>7.4000000000000003E-3</v>
      </c>
      <c r="D176">
        <v>0.113</v>
      </c>
      <c r="E176">
        <f t="shared" si="87"/>
        <v>8.362E-2</v>
      </c>
      <c r="F176" s="29">
        <v>499996.8</v>
      </c>
      <c r="G176">
        <f t="shared" si="88"/>
        <v>3599976.96</v>
      </c>
      <c r="H176">
        <f t="shared" si="89"/>
        <v>5142824.2285714289</v>
      </c>
      <c r="I176">
        <f t="shared" si="90"/>
        <v>42.856868571428571</v>
      </c>
      <c r="J176">
        <f t="shared" si="91"/>
        <v>173.24143137466308</v>
      </c>
      <c r="K176">
        <f t="shared" si="92"/>
        <v>890950.2306660118</v>
      </c>
      <c r="L176">
        <f t="shared" si="93"/>
        <v>745.01258288291911</v>
      </c>
      <c r="M176" s="7">
        <v>500641.33222873497</v>
      </c>
      <c r="N176">
        <f t="shared" si="94"/>
        <v>3604617.5920468918</v>
      </c>
      <c r="O176">
        <f t="shared" si="95"/>
        <v>5149453.7029241314</v>
      </c>
      <c r="P176">
        <f t="shared" si="96"/>
        <v>42.912114191034426</v>
      </c>
      <c r="Q176">
        <f t="shared" si="97"/>
        <v>173.20286367795711</v>
      </c>
      <c r="R176">
        <f t="shared" si="98"/>
        <v>891900.12772351981</v>
      </c>
      <c r="S176">
        <f t="shared" si="99"/>
        <v>745.80688680240735</v>
      </c>
      <c r="T176" s="29">
        <v>500963.15433849901</v>
      </c>
      <c r="U176">
        <f t="shared" si="83"/>
        <v>3606934.7112371931</v>
      </c>
      <c r="V176">
        <f t="shared" si="84"/>
        <v>5152763.8731959909</v>
      </c>
      <c r="W176">
        <f t="shared" si="85"/>
        <v>42.939698943299923</v>
      </c>
      <c r="X176">
        <f t="shared" si="100"/>
        <v>173.18360639807364</v>
      </c>
      <c r="Y176">
        <f t="shared" si="101"/>
        <v>892374.2304777879</v>
      </c>
      <c r="Z176">
        <f t="shared" si="102"/>
        <v>746.20333152552632</v>
      </c>
      <c r="AA176" s="29">
        <v>500964.48613814899</v>
      </c>
      <c r="AB176">
        <f t="shared" si="86"/>
        <v>3606944.3001946728</v>
      </c>
      <c r="AC176">
        <f t="shared" si="103"/>
        <v>5152777.5717066759</v>
      </c>
      <c r="AD176">
        <f t="shared" si="104"/>
        <v>42.939813097555636</v>
      </c>
      <c r="AE176">
        <f t="shared" si="105"/>
        <v>173.18352670548003</v>
      </c>
      <c r="AF176">
        <f t="shared" si="106"/>
        <v>892376.19219706161</v>
      </c>
      <c r="AG176">
        <f t="shared" si="107"/>
        <v>746.20497191518291</v>
      </c>
      <c r="AH176" s="29">
        <v>501448.32920722401</v>
      </c>
      <c r="AI176">
        <f t="shared" si="108"/>
        <v>3610427.9702920131</v>
      </c>
      <c r="AJ176">
        <f t="shared" si="109"/>
        <v>5157754.243274305</v>
      </c>
      <c r="AK176">
        <f t="shared" si="110"/>
        <v>42.981285360619211</v>
      </c>
      <c r="AL176">
        <f t="shared" si="111"/>
        <v>173.15457437088847</v>
      </c>
      <c r="AM176">
        <f t="shared" si="112"/>
        <v>893088.74070380628</v>
      </c>
      <c r="AN176">
        <f t="shared" si="113"/>
        <v>746.80080497652284</v>
      </c>
      <c r="AO176" s="29">
        <v>402083.87191982003</v>
      </c>
      <c r="AP176">
        <f t="shared" si="114"/>
        <v>2895003.8778227041</v>
      </c>
      <c r="AQ176">
        <f t="shared" si="115"/>
        <v>4135719.8254610063</v>
      </c>
      <c r="AR176">
        <f t="shared" si="116"/>
        <v>34.464331878841719</v>
      </c>
      <c r="AS176">
        <f t="shared" si="117"/>
        <v>179.1003720845822</v>
      </c>
      <c r="AT176">
        <f t="shared" si="118"/>
        <v>740708.9595776496</v>
      </c>
      <c r="AU176">
        <f t="shared" si="119"/>
        <v>619.38083199883067</v>
      </c>
      <c r="AV176" s="29">
        <v>303879.30079063302</v>
      </c>
      <c r="AW176">
        <f t="shared" si="120"/>
        <v>2187930.9656925579</v>
      </c>
      <c r="AX176">
        <f t="shared" si="121"/>
        <v>3125615.6652750829</v>
      </c>
      <c r="AY176">
        <f t="shared" si="122"/>
        <v>26.046797210625694</v>
      </c>
      <c r="AZ176">
        <f t="shared" si="123"/>
        <v>184.97676421144999</v>
      </c>
      <c r="BA176">
        <f t="shared" si="124"/>
        <v>578166.27193120332</v>
      </c>
      <c r="BB176">
        <f t="shared" si="125"/>
        <v>483.46263658887221</v>
      </c>
      <c r="BC176" s="29">
        <v>411544.313470161</v>
      </c>
      <c r="BD176">
        <f t="shared" si="126"/>
        <v>2963119.0569851594</v>
      </c>
      <c r="BE176">
        <f t="shared" si="127"/>
        <v>4233027.2242645137</v>
      </c>
      <c r="BF176">
        <f t="shared" si="128"/>
        <v>35.275226868870952</v>
      </c>
      <c r="BG176">
        <f t="shared" si="129"/>
        <v>178.53427558210896</v>
      </c>
      <c r="BH176">
        <f t="shared" si="130"/>
        <v>755740.44900341041</v>
      </c>
      <c r="BI176">
        <f t="shared" si="131"/>
        <v>631.95016345665181</v>
      </c>
      <c r="BJ176" s="29">
        <v>367446.80301847798</v>
      </c>
      <c r="BK176">
        <f t="shared" si="132"/>
        <v>2645616.9817330413</v>
      </c>
      <c r="BL176">
        <f t="shared" si="133"/>
        <v>3779452.831047202</v>
      </c>
      <c r="BM176">
        <f t="shared" si="134"/>
        <v>31.495440258726681</v>
      </c>
      <c r="BN176">
        <f t="shared" si="135"/>
        <v>181.17299453636062</v>
      </c>
      <c r="BO176">
        <f t="shared" si="136"/>
        <v>684734.78710974741</v>
      </c>
      <c r="BP176">
        <f t="shared" si="137"/>
        <v>572.57522898117077</v>
      </c>
    </row>
    <row r="177" spans="1:68" x14ac:dyDescent="0.25">
      <c r="A177">
        <v>18</v>
      </c>
      <c r="B177">
        <v>60</v>
      </c>
      <c r="C177">
        <f t="shared" si="140"/>
        <v>7.4000000000000003E-3</v>
      </c>
      <c r="D177">
        <v>0.153</v>
      </c>
      <c r="E177">
        <f t="shared" si="87"/>
        <v>0.11322000000000002</v>
      </c>
      <c r="F177" s="29">
        <v>499996.8</v>
      </c>
      <c r="G177">
        <f t="shared" si="88"/>
        <v>3599976.96</v>
      </c>
      <c r="H177">
        <f t="shared" si="89"/>
        <v>5142824.2285714289</v>
      </c>
      <c r="I177">
        <f t="shared" si="90"/>
        <v>42.856868571428571</v>
      </c>
      <c r="J177">
        <f t="shared" si="91"/>
        <v>173.24143137466308</v>
      </c>
      <c r="K177">
        <f t="shared" si="92"/>
        <v>890950.2306660118</v>
      </c>
      <c r="L177">
        <f t="shared" si="93"/>
        <v>1008.7338511600586</v>
      </c>
      <c r="M177" s="7">
        <v>438229.38706034102</v>
      </c>
      <c r="N177">
        <f t="shared" si="94"/>
        <v>3155251.5868344554</v>
      </c>
      <c r="O177">
        <f t="shared" si="95"/>
        <v>4507502.2669063648</v>
      </c>
      <c r="P177">
        <f t="shared" si="96"/>
        <v>37.562518890886373</v>
      </c>
      <c r="Q177">
        <f t="shared" si="97"/>
        <v>176.93748681202271</v>
      </c>
      <c r="R177">
        <f t="shared" si="98"/>
        <v>797546.12290590734</v>
      </c>
      <c r="S177">
        <f t="shared" si="99"/>
        <v>902.98172035406833</v>
      </c>
      <c r="T177" s="29">
        <v>407339.27925252501</v>
      </c>
      <c r="U177">
        <f t="shared" si="83"/>
        <v>2932842.8106181803</v>
      </c>
      <c r="V177">
        <f t="shared" si="84"/>
        <v>4189775.4437402571</v>
      </c>
      <c r="W177">
        <f t="shared" si="85"/>
        <v>34.91479536450214</v>
      </c>
      <c r="X177">
        <f t="shared" si="100"/>
        <v>178.78589757572493</v>
      </c>
      <c r="Y177">
        <f t="shared" si="101"/>
        <v>749072.76334983308</v>
      </c>
      <c r="Z177">
        <f t="shared" si="102"/>
        <v>848.10018266468103</v>
      </c>
      <c r="AA177" s="29">
        <v>407358.48043922498</v>
      </c>
      <c r="AB177">
        <f t="shared" si="86"/>
        <v>2932981.0591624198</v>
      </c>
      <c r="AC177">
        <f t="shared" si="103"/>
        <v>4189972.9416606002</v>
      </c>
      <c r="AD177">
        <f t="shared" si="104"/>
        <v>34.916441180505004</v>
      </c>
      <c r="AE177">
        <f t="shared" si="105"/>
        <v>178.78474860983613</v>
      </c>
      <c r="AF177">
        <f t="shared" si="106"/>
        <v>749103.25905680598</v>
      </c>
      <c r="AG177">
        <f t="shared" si="107"/>
        <v>848.13470990411577</v>
      </c>
      <c r="AH177" s="29">
        <v>361039.32065883803</v>
      </c>
      <c r="AI177">
        <f t="shared" si="108"/>
        <v>2599483.1087436341</v>
      </c>
      <c r="AJ177">
        <f t="shared" si="109"/>
        <v>3713547.2982051917</v>
      </c>
      <c r="AK177">
        <f t="shared" si="110"/>
        <v>30.946227485043263</v>
      </c>
      <c r="AL177">
        <f t="shared" si="111"/>
        <v>181.55640722742262</v>
      </c>
      <c r="AM177">
        <f t="shared" si="112"/>
        <v>674218.30553123693</v>
      </c>
      <c r="AN177">
        <f t="shared" si="113"/>
        <v>763.3499655224665</v>
      </c>
      <c r="AO177" s="29">
        <v>296321.24601905898</v>
      </c>
      <c r="AP177">
        <f t="shared" si="114"/>
        <v>2133512.9713372248</v>
      </c>
      <c r="AQ177">
        <f t="shared" si="115"/>
        <v>3047875.6733388924</v>
      </c>
      <c r="AR177">
        <f t="shared" si="116"/>
        <v>25.39896394449077</v>
      </c>
      <c r="AS177">
        <f t="shared" si="117"/>
        <v>185.4290251708272</v>
      </c>
      <c r="AT177">
        <f t="shared" si="118"/>
        <v>565164.61494910938</v>
      </c>
      <c r="AU177">
        <f t="shared" si="119"/>
        <v>639.87937704538172</v>
      </c>
      <c r="AV177" s="29">
        <v>92254.970365663001</v>
      </c>
      <c r="AW177">
        <f t="shared" si="120"/>
        <v>664235.78663277358</v>
      </c>
      <c r="AX177">
        <f t="shared" si="121"/>
        <v>948908.26661824796</v>
      </c>
      <c r="AY177">
        <f t="shared" si="122"/>
        <v>7.9075688884853994</v>
      </c>
      <c r="AZ177">
        <f t="shared" si="123"/>
        <v>197.63999907784981</v>
      </c>
      <c r="BA177">
        <f t="shared" si="124"/>
        <v>187542.22893939458</v>
      </c>
      <c r="BB177">
        <f t="shared" si="125"/>
        <v>212.33531160518257</v>
      </c>
      <c r="BC177" s="29">
        <v>268756.836068845</v>
      </c>
      <c r="BD177">
        <f t="shared" si="126"/>
        <v>1935049.219695684</v>
      </c>
      <c r="BE177">
        <f t="shared" si="127"/>
        <v>2764356.0281366915</v>
      </c>
      <c r="BF177">
        <f t="shared" si="128"/>
        <v>23.036300234472428</v>
      </c>
      <c r="BG177">
        <f t="shared" si="129"/>
        <v>187.07843191178341</v>
      </c>
      <c r="BH177">
        <f t="shared" si="130"/>
        <v>517151.39098969806</v>
      </c>
      <c r="BI177">
        <f t="shared" si="131"/>
        <v>585.51880487853623</v>
      </c>
      <c r="BJ177" s="29">
        <v>153420.38008935199</v>
      </c>
      <c r="BK177">
        <f t="shared" si="132"/>
        <v>1104626.7366433344</v>
      </c>
      <c r="BL177">
        <f t="shared" si="133"/>
        <v>1578038.1952047634</v>
      </c>
      <c r="BM177">
        <f t="shared" si="134"/>
        <v>13.150318293373028</v>
      </c>
      <c r="BN177">
        <f t="shared" si="135"/>
        <v>193.9799664744377</v>
      </c>
      <c r="BO177">
        <f t="shared" si="136"/>
        <v>306107.7962012022</v>
      </c>
      <c r="BP177">
        <f t="shared" si="137"/>
        <v>346.57524685900114</v>
      </c>
    </row>
    <row r="178" spans="1:68" x14ac:dyDescent="0.25">
      <c r="A178">
        <v>18</v>
      </c>
      <c r="B178">
        <v>80</v>
      </c>
      <c r="C178">
        <f t="shared" si="140"/>
        <v>7.4000000000000003E-3</v>
      </c>
      <c r="D178">
        <v>0.17399999999999999</v>
      </c>
      <c r="E178">
        <f t="shared" si="87"/>
        <v>0.12876000000000001</v>
      </c>
      <c r="F178" s="29">
        <v>499996.8</v>
      </c>
      <c r="G178">
        <f t="shared" si="88"/>
        <v>3599976.96</v>
      </c>
      <c r="H178">
        <f t="shared" si="89"/>
        <v>5142824.2285714289</v>
      </c>
      <c r="I178">
        <f t="shared" si="90"/>
        <v>42.856868571428571</v>
      </c>
      <c r="J178">
        <f t="shared" si="91"/>
        <v>173.24143137466308</v>
      </c>
      <c r="K178">
        <f t="shared" si="92"/>
        <v>890950.2306660118</v>
      </c>
      <c r="L178">
        <f t="shared" si="93"/>
        <v>1147.1875170055569</v>
      </c>
      <c r="M178" s="7">
        <v>381707.15834300901</v>
      </c>
      <c r="N178">
        <f t="shared" si="94"/>
        <v>2748291.5400696648</v>
      </c>
      <c r="O178">
        <f t="shared" si="95"/>
        <v>3926130.7715280927</v>
      </c>
      <c r="P178">
        <f t="shared" si="96"/>
        <v>32.717756429400772</v>
      </c>
      <c r="Q178">
        <f t="shared" si="97"/>
        <v>180.31967947381455</v>
      </c>
      <c r="R178">
        <f t="shared" si="98"/>
        <v>707958.64229422598</v>
      </c>
      <c r="S178">
        <f t="shared" si="99"/>
        <v>911.56754781804545</v>
      </c>
      <c r="T178" s="29">
        <v>322564.969082203</v>
      </c>
      <c r="U178">
        <f t="shared" si="83"/>
        <v>2322467.7773918617</v>
      </c>
      <c r="V178">
        <f t="shared" si="84"/>
        <v>3317811.1105598025</v>
      </c>
      <c r="W178">
        <f t="shared" si="85"/>
        <v>27.64842592133169</v>
      </c>
      <c r="X178">
        <f t="shared" si="100"/>
        <v>183.85864605491938</v>
      </c>
      <c r="Y178">
        <f t="shared" si="101"/>
        <v>610008.25865349371</v>
      </c>
      <c r="Z178">
        <f t="shared" si="102"/>
        <v>785.4466338422385</v>
      </c>
      <c r="AA178" s="29">
        <v>322557.074722372</v>
      </c>
      <c r="AB178">
        <f t="shared" si="86"/>
        <v>2322410.9380010786</v>
      </c>
      <c r="AC178">
        <f t="shared" si="103"/>
        <v>3317729.9114301126</v>
      </c>
      <c r="AD178">
        <f t="shared" si="104"/>
        <v>27.647749261917607</v>
      </c>
      <c r="AE178">
        <f t="shared" si="105"/>
        <v>183.85911843979338</v>
      </c>
      <c r="AF178">
        <f t="shared" si="106"/>
        <v>609994.89673687425</v>
      </c>
      <c r="AG178">
        <f t="shared" si="107"/>
        <v>785.42942903839935</v>
      </c>
      <c r="AH178" s="29">
        <v>233837.212083558</v>
      </c>
      <c r="AI178">
        <f t="shared" si="108"/>
        <v>1683627.9270016176</v>
      </c>
      <c r="AJ178">
        <f t="shared" si="109"/>
        <v>2405182.7528594537</v>
      </c>
      <c r="AK178">
        <f t="shared" si="110"/>
        <v>20.043189607162113</v>
      </c>
      <c r="AL178">
        <f t="shared" si="111"/>
        <v>189.16796197235851</v>
      </c>
      <c r="AM178">
        <f t="shared" si="112"/>
        <v>454983.51952948968</v>
      </c>
      <c r="AN178">
        <f t="shared" si="113"/>
        <v>585.83677974617092</v>
      </c>
      <c r="AO178" s="29">
        <v>183291.257792622</v>
      </c>
      <c r="AP178">
        <f t="shared" si="114"/>
        <v>1319697.0561068784</v>
      </c>
      <c r="AQ178">
        <f t="shared" si="115"/>
        <v>1885281.5087241121</v>
      </c>
      <c r="AR178">
        <f t="shared" si="116"/>
        <v>15.710679239367598</v>
      </c>
      <c r="AS178">
        <f t="shared" si="117"/>
        <v>192.19254468195092</v>
      </c>
      <c r="AT178">
        <f t="shared" si="118"/>
        <v>362337.05060351471</v>
      </c>
      <c r="AU178">
        <f t="shared" si="119"/>
        <v>466.54518635708558</v>
      </c>
      <c r="AV178" s="29">
        <v>0</v>
      </c>
      <c r="AW178">
        <f t="shared" si="120"/>
        <v>0</v>
      </c>
      <c r="AX178">
        <f t="shared" si="121"/>
        <v>0</v>
      </c>
      <c r="AY178">
        <f t="shared" si="122"/>
        <v>0</v>
      </c>
      <c r="AZ178">
        <f t="shared" si="123"/>
        <v>203.16037735849056</v>
      </c>
      <c r="BA178">
        <f t="shared" si="124"/>
        <v>0</v>
      </c>
      <c r="BB178">
        <f t="shared" si="125"/>
        <v>0</v>
      </c>
      <c r="BC178" s="29">
        <v>114059.73708166499</v>
      </c>
      <c r="BD178">
        <f t="shared" si="126"/>
        <v>821230.10698798799</v>
      </c>
      <c r="BE178">
        <f t="shared" si="127"/>
        <v>1173185.8671256972</v>
      </c>
      <c r="BF178">
        <f t="shared" si="128"/>
        <v>9.7765488927141426</v>
      </c>
      <c r="BG178">
        <f t="shared" si="129"/>
        <v>196.33523945225616</v>
      </c>
      <c r="BH178">
        <f t="shared" si="130"/>
        <v>230337.72814412654</v>
      </c>
      <c r="BI178">
        <f t="shared" si="131"/>
        <v>296.58285875837737</v>
      </c>
      <c r="BJ178" s="29">
        <v>0</v>
      </c>
      <c r="BK178">
        <f t="shared" si="132"/>
        <v>0</v>
      </c>
      <c r="BL178">
        <f t="shared" si="133"/>
        <v>0</v>
      </c>
      <c r="BM178">
        <f t="shared" si="134"/>
        <v>0</v>
      </c>
      <c r="BN178">
        <f t="shared" si="135"/>
        <v>203.16037735849056</v>
      </c>
      <c r="BO178">
        <f t="shared" si="136"/>
        <v>0</v>
      </c>
      <c r="BP178">
        <f t="shared" si="137"/>
        <v>0</v>
      </c>
    </row>
    <row r="179" spans="1:68" x14ac:dyDescent="0.25">
      <c r="A179">
        <v>18</v>
      </c>
      <c r="B179">
        <v>100</v>
      </c>
      <c r="C179">
        <f t="shared" si="140"/>
        <v>7.4000000000000003E-3</v>
      </c>
      <c r="D179">
        <v>0.17399999999999999</v>
      </c>
      <c r="E179">
        <f t="shared" si="87"/>
        <v>0.12876000000000001</v>
      </c>
      <c r="F179" s="29">
        <v>499996.8</v>
      </c>
      <c r="G179">
        <f t="shared" si="88"/>
        <v>3599976.96</v>
      </c>
      <c r="H179">
        <f t="shared" si="89"/>
        <v>5142824.2285714289</v>
      </c>
      <c r="I179">
        <f t="shared" si="90"/>
        <v>42.856868571428571</v>
      </c>
      <c r="J179">
        <f t="shared" si="91"/>
        <v>173.24143137466308</v>
      </c>
      <c r="K179">
        <f t="shared" si="92"/>
        <v>890950.2306660118</v>
      </c>
      <c r="L179">
        <f t="shared" si="93"/>
        <v>1147.1875170055569</v>
      </c>
      <c r="M179" s="7">
        <v>378310.91264362697</v>
      </c>
      <c r="N179">
        <f t="shared" si="94"/>
        <v>2723838.5710341143</v>
      </c>
      <c r="O179">
        <f t="shared" si="95"/>
        <v>3891197.9586201631</v>
      </c>
      <c r="P179">
        <f t="shared" si="96"/>
        <v>32.426649655168028</v>
      </c>
      <c r="Q179">
        <f t="shared" si="97"/>
        <v>180.52290495771288</v>
      </c>
      <c r="R179">
        <f t="shared" si="98"/>
        <v>702450.35925563402</v>
      </c>
      <c r="S179">
        <f t="shared" si="99"/>
        <v>904.47508257755442</v>
      </c>
      <c r="T179" s="29">
        <v>317496.33688946802</v>
      </c>
      <c r="U179">
        <f t="shared" si="83"/>
        <v>2285973.6256041699</v>
      </c>
      <c r="V179">
        <f t="shared" si="84"/>
        <v>3265676.6080059572</v>
      </c>
      <c r="W179">
        <f t="shared" si="85"/>
        <v>27.213971733382976</v>
      </c>
      <c r="X179">
        <f t="shared" si="100"/>
        <v>184.16194426160055</v>
      </c>
      <c r="Y179">
        <f t="shared" si="101"/>
        <v>601413.35346000583</v>
      </c>
      <c r="Z179">
        <f t="shared" si="102"/>
        <v>774.37983391510352</v>
      </c>
      <c r="AA179" s="29">
        <v>317411.21936564398</v>
      </c>
      <c r="AB179">
        <f t="shared" si="86"/>
        <v>2285360.7794326367</v>
      </c>
      <c r="AC179">
        <f t="shared" si="103"/>
        <v>3264801.1134751956</v>
      </c>
      <c r="AD179">
        <f t="shared" si="104"/>
        <v>27.206675945626632</v>
      </c>
      <c r="AE179">
        <f t="shared" si="105"/>
        <v>184.16703754739274</v>
      </c>
      <c r="AF179">
        <f t="shared" si="106"/>
        <v>601268.74925015587</v>
      </c>
      <c r="AG179">
        <f t="shared" si="107"/>
        <v>774.19364153450078</v>
      </c>
      <c r="AH179" s="29">
        <v>226118.429048466</v>
      </c>
      <c r="AI179">
        <f t="shared" si="108"/>
        <v>1628052.6891489553</v>
      </c>
      <c r="AJ179">
        <f t="shared" si="109"/>
        <v>2325789.5559270792</v>
      </c>
      <c r="AK179">
        <f t="shared" si="110"/>
        <v>19.381579632725661</v>
      </c>
      <c r="AL179">
        <f t="shared" si="111"/>
        <v>189.62984063375757</v>
      </c>
      <c r="AM179">
        <f t="shared" si="112"/>
        <v>441039.10283810977</v>
      </c>
      <c r="AN179">
        <f t="shared" si="113"/>
        <v>567.88194881435015</v>
      </c>
      <c r="AO179" s="29">
        <v>87297.058017819698</v>
      </c>
      <c r="AP179">
        <f t="shared" si="114"/>
        <v>628538.81772830186</v>
      </c>
      <c r="AQ179">
        <f t="shared" si="115"/>
        <v>897912.59675471694</v>
      </c>
      <c r="AR179">
        <f t="shared" si="116"/>
        <v>7.4826049729559747</v>
      </c>
      <c r="AS179">
        <f t="shared" si="117"/>
        <v>197.93667200001187</v>
      </c>
      <c r="AT179">
        <f t="shared" si="118"/>
        <v>177729.83114851735</v>
      </c>
      <c r="AU179">
        <f t="shared" si="119"/>
        <v>228.84493058683094</v>
      </c>
      <c r="AV179" s="29">
        <v>0</v>
      </c>
      <c r="AW179">
        <f t="shared" si="120"/>
        <v>0</v>
      </c>
      <c r="AX179">
        <f t="shared" si="121"/>
        <v>0</v>
      </c>
      <c r="AY179">
        <f t="shared" si="122"/>
        <v>0</v>
      </c>
      <c r="AZ179">
        <f t="shared" si="123"/>
        <v>203.16037735849056</v>
      </c>
      <c r="BA179">
        <f t="shared" si="124"/>
        <v>0</v>
      </c>
      <c r="BB179">
        <f t="shared" si="125"/>
        <v>0</v>
      </c>
      <c r="BC179" s="29">
        <v>42444.946413117097</v>
      </c>
      <c r="BD179">
        <f t="shared" si="126"/>
        <v>305603.61417444312</v>
      </c>
      <c r="BE179">
        <f t="shared" si="127"/>
        <v>436576.5916777759</v>
      </c>
      <c r="BF179">
        <f t="shared" si="128"/>
        <v>3.6381382639814657</v>
      </c>
      <c r="BG179">
        <f t="shared" si="129"/>
        <v>200.62054498552237</v>
      </c>
      <c r="BH179">
        <f t="shared" si="130"/>
        <v>87586.233750317275</v>
      </c>
      <c r="BI179">
        <f t="shared" si="131"/>
        <v>112.77603457690853</v>
      </c>
      <c r="BJ179" s="29">
        <v>0</v>
      </c>
      <c r="BK179">
        <f t="shared" si="132"/>
        <v>0</v>
      </c>
      <c r="BL179">
        <f t="shared" si="133"/>
        <v>0</v>
      </c>
      <c r="BM179">
        <f t="shared" si="134"/>
        <v>0</v>
      </c>
      <c r="BN179">
        <f t="shared" si="135"/>
        <v>203.16037735849056</v>
      </c>
      <c r="BO179">
        <f t="shared" si="136"/>
        <v>0</v>
      </c>
      <c r="BP179">
        <f t="shared" si="137"/>
        <v>0</v>
      </c>
    </row>
    <row r="180" spans="1:68" x14ac:dyDescent="0.25">
      <c r="A180">
        <v>18</v>
      </c>
      <c r="B180">
        <v>120</v>
      </c>
      <c r="C180">
        <f t="shared" si="140"/>
        <v>7.4000000000000003E-3</v>
      </c>
      <c r="D180">
        <v>0.153</v>
      </c>
      <c r="E180">
        <f t="shared" si="87"/>
        <v>0.11322000000000002</v>
      </c>
      <c r="F180" s="29">
        <v>499996.8</v>
      </c>
      <c r="G180">
        <f t="shared" si="88"/>
        <v>3599976.96</v>
      </c>
      <c r="H180">
        <f t="shared" si="89"/>
        <v>5142824.2285714289</v>
      </c>
      <c r="I180">
        <f t="shared" si="90"/>
        <v>42.856868571428571</v>
      </c>
      <c r="J180">
        <f t="shared" si="91"/>
        <v>173.24143137466308</v>
      </c>
      <c r="K180">
        <f t="shared" si="92"/>
        <v>890950.2306660118</v>
      </c>
      <c r="L180">
        <f t="shared" si="93"/>
        <v>1008.7338511600586</v>
      </c>
      <c r="M180" s="7">
        <v>433001.27098902699</v>
      </c>
      <c r="N180">
        <f t="shared" si="94"/>
        <v>3117609.1511209942</v>
      </c>
      <c r="O180">
        <f t="shared" si="95"/>
        <v>4453727.3587442776</v>
      </c>
      <c r="P180">
        <f t="shared" si="96"/>
        <v>37.114394656202315</v>
      </c>
      <c r="Q180">
        <f t="shared" si="97"/>
        <v>177.25032825887763</v>
      </c>
      <c r="R180">
        <f t="shared" si="98"/>
        <v>789424.63631296728</v>
      </c>
      <c r="S180">
        <f t="shared" si="99"/>
        <v>893.78657323354162</v>
      </c>
      <c r="T180" s="29">
        <v>399532.64042531798</v>
      </c>
      <c r="U180">
        <f t="shared" ref="U180:U211" si="141">$G$12*T180</f>
        <v>2876635.0110622896</v>
      </c>
      <c r="V180">
        <f t="shared" ref="V180:V211" si="142">U180*100/$G$15</f>
        <v>4109478.5872318423</v>
      </c>
      <c r="W180">
        <f t="shared" ref="W180:W211" si="143">100*V180/$G$14</f>
        <v>34.245654893598683</v>
      </c>
      <c r="X180">
        <f t="shared" si="100"/>
        <v>179.25303337616697</v>
      </c>
      <c r="Y180">
        <f t="shared" si="101"/>
        <v>736636.50235571293</v>
      </c>
      <c r="Z180">
        <f t="shared" si="102"/>
        <v>834.01984796713828</v>
      </c>
      <c r="AA180" s="29">
        <v>399445.19357788598</v>
      </c>
      <c r="AB180">
        <f t="shared" ref="AB180:AB211" si="144">$H$12*AA180</f>
        <v>2876005.3937607789</v>
      </c>
      <c r="AC180">
        <f t="shared" si="103"/>
        <v>4108579.1339439698</v>
      </c>
      <c r="AD180">
        <f t="shared" si="104"/>
        <v>34.238159449533079</v>
      </c>
      <c r="AE180">
        <f t="shared" si="105"/>
        <v>179.25826604466559</v>
      </c>
      <c r="AF180">
        <f t="shared" si="106"/>
        <v>736496.77145808982</v>
      </c>
      <c r="AG180">
        <f t="shared" si="107"/>
        <v>833.86164464484932</v>
      </c>
      <c r="AH180" s="29">
        <v>349169.39036682801</v>
      </c>
      <c r="AI180">
        <f t="shared" si="108"/>
        <v>2514019.6106411619</v>
      </c>
      <c r="AJ180">
        <f t="shared" si="109"/>
        <v>3591456.5866302312</v>
      </c>
      <c r="AK180">
        <f t="shared" si="110"/>
        <v>29.928804888585258</v>
      </c>
      <c r="AL180">
        <f t="shared" si="111"/>
        <v>182.26668337966689</v>
      </c>
      <c r="AM180">
        <f t="shared" si="112"/>
        <v>654602.88054715155</v>
      </c>
      <c r="AN180">
        <f t="shared" si="113"/>
        <v>741.14138135548501</v>
      </c>
      <c r="AO180" s="29">
        <v>33006.324011752098</v>
      </c>
      <c r="AP180">
        <f t="shared" si="114"/>
        <v>237645.53288461512</v>
      </c>
      <c r="AQ180">
        <f t="shared" si="115"/>
        <v>339493.61840659304</v>
      </c>
      <c r="AR180">
        <f t="shared" si="116"/>
        <v>2.8291134867216088</v>
      </c>
      <c r="AS180">
        <f t="shared" si="117"/>
        <v>201.18533586776039</v>
      </c>
      <c r="AT180">
        <f t="shared" si="118"/>
        <v>68301.137644091694</v>
      </c>
      <c r="AU180">
        <f t="shared" si="119"/>
        <v>77.330548040640622</v>
      </c>
      <c r="AV180" s="29">
        <v>0</v>
      </c>
      <c r="AW180">
        <f t="shared" si="120"/>
        <v>0</v>
      </c>
      <c r="AX180">
        <f t="shared" si="121"/>
        <v>0</v>
      </c>
      <c r="AY180">
        <f t="shared" si="122"/>
        <v>0</v>
      </c>
      <c r="AZ180">
        <f t="shared" si="123"/>
        <v>203.16037735849056</v>
      </c>
      <c r="BA180">
        <f t="shared" si="124"/>
        <v>0</v>
      </c>
      <c r="BB180">
        <f t="shared" si="125"/>
        <v>0</v>
      </c>
      <c r="BC180" s="29">
        <v>100546.39005035</v>
      </c>
      <c r="BD180">
        <f t="shared" si="126"/>
        <v>723934.00836252002</v>
      </c>
      <c r="BE180">
        <f t="shared" si="127"/>
        <v>1034191.4405178857</v>
      </c>
      <c r="BF180">
        <f t="shared" si="128"/>
        <v>8.6182620043157137</v>
      </c>
      <c r="BG180">
        <f t="shared" si="129"/>
        <v>197.14385482717583</v>
      </c>
      <c r="BH180">
        <f t="shared" si="130"/>
        <v>203884.48721296591</v>
      </c>
      <c r="BI180">
        <f t="shared" si="131"/>
        <v>230.83801642252001</v>
      </c>
      <c r="BJ180" s="29">
        <v>0</v>
      </c>
      <c r="BK180">
        <f t="shared" si="132"/>
        <v>0</v>
      </c>
      <c r="BL180">
        <f t="shared" si="133"/>
        <v>0</v>
      </c>
      <c r="BM180">
        <f t="shared" si="134"/>
        <v>0</v>
      </c>
      <c r="BN180">
        <f t="shared" si="135"/>
        <v>203.16037735849056</v>
      </c>
      <c r="BO180">
        <f t="shared" si="136"/>
        <v>0</v>
      </c>
      <c r="BP180">
        <f t="shared" si="137"/>
        <v>0</v>
      </c>
    </row>
    <row r="181" spans="1:68" x14ac:dyDescent="0.25">
      <c r="A181">
        <v>18</v>
      </c>
      <c r="B181">
        <v>140</v>
      </c>
      <c r="C181">
        <f t="shared" si="140"/>
        <v>7.4000000000000003E-3</v>
      </c>
      <c r="D181">
        <v>0.113</v>
      </c>
      <c r="E181">
        <f t="shared" si="87"/>
        <v>8.362E-2</v>
      </c>
      <c r="F181" s="29">
        <v>499996.8</v>
      </c>
      <c r="G181">
        <f t="shared" si="88"/>
        <v>3599976.96</v>
      </c>
      <c r="H181">
        <f t="shared" si="89"/>
        <v>5142824.2285714289</v>
      </c>
      <c r="I181">
        <f t="shared" si="90"/>
        <v>42.856868571428571</v>
      </c>
      <c r="J181">
        <f t="shared" si="91"/>
        <v>173.24143137466308</v>
      </c>
      <c r="K181">
        <f t="shared" si="92"/>
        <v>890950.2306660118</v>
      </c>
      <c r="L181">
        <f t="shared" si="93"/>
        <v>745.01258288291911</v>
      </c>
      <c r="M181" s="7">
        <v>496429.72386306699</v>
      </c>
      <c r="N181">
        <f t="shared" si="94"/>
        <v>3574294.0118140825</v>
      </c>
      <c r="O181">
        <f t="shared" si="95"/>
        <v>5106134.3025915464</v>
      </c>
      <c r="P181">
        <f t="shared" si="96"/>
        <v>42.551119188262888</v>
      </c>
      <c r="Q181">
        <f t="shared" si="97"/>
        <v>173.45487905725042</v>
      </c>
      <c r="R181">
        <f t="shared" si="98"/>
        <v>885683.90790609445</v>
      </c>
      <c r="S181">
        <f t="shared" si="99"/>
        <v>740.60888379107621</v>
      </c>
      <c r="T181" s="29">
        <v>494643.07036282902</v>
      </c>
      <c r="U181">
        <f t="shared" si="141"/>
        <v>3561430.106612369</v>
      </c>
      <c r="V181">
        <f t="shared" si="142"/>
        <v>5087757.2951605273</v>
      </c>
      <c r="W181">
        <f t="shared" si="143"/>
        <v>42.397977459671061</v>
      </c>
      <c r="X181">
        <f t="shared" si="100"/>
        <v>173.56178932060701</v>
      </c>
      <c r="Y181">
        <f t="shared" si="101"/>
        <v>883040.25977703289</v>
      </c>
      <c r="Z181">
        <f t="shared" si="102"/>
        <v>738.39826522555495</v>
      </c>
      <c r="AA181" s="29">
        <v>494652.42247793399</v>
      </c>
      <c r="AB181">
        <f t="shared" si="144"/>
        <v>3561497.4418411246</v>
      </c>
      <c r="AC181">
        <f t="shared" si="103"/>
        <v>5087853.4883444635</v>
      </c>
      <c r="AD181">
        <f t="shared" si="104"/>
        <v>42.398779069537198</v>
      </c>
      <c r="AE181">
        <f t="shared" si="105"/>
        <v>173.56122970617216</v>
      </c>
      <c r="AF181">
        <f t="shared" si="106"/>
        <v>883054.1080019027</v>
      </c>
      <c r="AG181">
        <f t="shared" si="107"/>
        <v>738.40984511119109</v>
      </c>
      <c r="AH181" s="29">
        <v>491980.23371689999</v>
      </c>
      <c r="AI181">
        <f t="shared" si="108"/>
        <v>3542257.6827616799</v>
      </c>
      <c r="AJ181">
        <f t="shared" si="109"/>
        <v>5060368.1182309715</v>
      </c>
      <c r="AK181">
        <f t="shared" si="110"/>
        <v>42.169734318591431</v>
      </c>
      <c r="AL181">
        <f t="shared" si="111"/>
        <v>173.72112887192674</v>
      </c>
      <c r="AM181">
        <f t="shared" si="112"/>
        <v>879092.86200659198</v>
      </c>
      <c r="AN181">
        <f t="shared" si="113"/>
        <v>735.09745120991226</v>
      </c>
      <c r="AO181" s="29">
        <v>37458.008402199397</v>
      </c>
      <c r="AP181">
        <f t="shared" si="114"/>
        <v>269697.66049583565</v>
      </c>
      <c r="AQ181">
        <f t="shared" si="115"/>
        <v>385282.37213690806</v>
      </c>
      <c r="AR181">
        <f t="shared" si="116"/>
        <v>3.2106864344742334</v>
      </c>
      <c r="AS181">
        <f t="shared" si="117"/>
        <v>200.91895475329156</v>
      </c>
      <c r="AT181">
        <f t="shared" si="118"/>
        <v>77410.531494616269</v>
      </c>
      <c r="AU181">
        <f t="shared" si="119"/>
        <v>64.730686435798134</v>
      </c>
      <c r="AV181" s="29">
        <v>0</v>
      </c>
      <c r="AW181">
        <f t="shared" si="120"/>
        <v>0</v>
      </c>
      <c r="AX181">
        <f t="shared" si="121"/>
        <v>0</v>
      </c>
      <c r="AY181">
        <f t="shared" si="122"/>
        <v>0</v>
      </c>
      <c r="AZ181">
        <f t="shared" si="123"/>
        <v>203.16037735849056</v>
      </c>
      <c r="BA181">
        <f t="shared" si="124"/>
        <v>0</v>
      </c>
      <c r="BB181">
        <f t="shared" si="125"/>
        <v>0</v>
      </c>
      <c r="BC181" s="29">
        <v>244595.19438056901</v>
      </c>
      <c r="BD181">
        <f t="shared" si="126"/>
        <v>1761085.399540097</v>
      </c>
      <c r="BE181">
        <f t="shared" si="127"/>
        <v>2515836.2850572816</v>
      </c>
      <c r="BF181">
        <f t="shared" si="128"/>
        <v>20.965302375477346</v>
      </c>
      <c r="BG181">
        <f t="shared" si="129"/>
        <v>188.52422286994977</v>
      </c>
      <c r="BH181">
        <f t="shared" si="130"/>
        <v>474296.08050844545</v>
      </c>
      <c r="BI181">
        <f t="shared" si="131"/>
        <v>396.60638252116212</v>
      </c>
      <c r="BJ181" s="29">
        <v>116043.782493305</v>
      </c>
      <c r="BK181">
        <f t="shared" si="132"/>
        <v>835515.23395179596</v>
      </c>
      <c r="BL181">
        <f t="shared" si="133"/>
        <v>1193593.1913597086</v>
      </c>
      <c r="BM181">
        <f t="shared" si="134"/>
        <v>9.9466099279975726</v>
      </c>
      <c r="BN181">
        <f t="shared" si="135"/>
        <v>196.21651759743565</v>
      </c>
      <c r="BO181">
        <f t="shared" si="136"/>
        <v>234202.69943661161</v>
      </c>
      <c r="BP181">
        <f t="shared" si="137"/>
        <v>195.84029726889463</v>
      </c>
    </row>
    <row r="182" spans="1:68" x14ac:dyDescent="0.25">
      <c r="A182">
        <v>18</v>
      </c>
      <c r="B182">
        <v>160</v>
      </c>
      <c r="C182">
        <f t="shared" si="140"/>
        <v>7.4000000000000003E-3</v>
      </c>
      <c r="D182">
        <v>0.06</v>
      </c>
      <c r="E182">
        <f t="shared" si="87"/>
        <v>4.4400000000000002E-2</v>
      </c>
      <c r="F182" s="29">
        <v>499996.8</v>
      </c>
      <c r="G182">
        <f t="shared" si="88"/>
        <v>3599976.96</v>
      </c>
      <c r="H182">
        <f t="shared" si="89"/>
        <v>5142824.2285714289</v>
      </c>
      <c r="I182">
        <f t="shared" si="90"/>
        <v>42.856868571428571</v>
      </c>
      <c r="J182">
        <f t="shared" si="91"/>
        <v>173.24143137466308</v>
      </c>
      <c r="K182">
        <f t="shared" si="92"/>
        <v>890950.2306660118</v>
      </c>
      <c r="L182">
        <f t="shared" si="93"/>
        <v>395.58190241570924</v>
      </c>
      <c r="M182" s="7">
        <v>511067.41189141403</v>
      </c>
      <c r="N182">
        <f t="shared" si="94"/>
        <v>3679685.3656181809</v>
      </c>
      <c r="O182">
        <f t="shared" si="95"/>
        <v>5256693.3794545447</v>
      </c>
      <c r="P182">
        <f t="shared" si="96"/>
        <v>43.805778162121207</v>
      </c>
      <c r="Q182">
        <f t="shared" si="97"/>
        <v>172.57898505663238</v>
      </c>
      <c r="R182">
        <f t="shared" si="98"/>
        <v>907194.80818018422</v>
      </c>
      <c r="S182">
        <f t="shared" si="99"/>
        <v>402.79449483200182</v>
      </c>
      <c r="T182" s="29">
        <v>516617.884019883</v>
      </c>
      <c r="U182">
        <f t="shared" si="141"/>
        <v>3719648.7649431578</v>
      </c>
      <c r="V182">
        <f t="shared" si="142"/>
        <v>5313783.9499187972</v>
      </c>
      <c r="W182">
        <f t="shared" si="143"/>
        <v>44.281532915989978</v>
      </c>
      <c r="X182">
        <f t="shared" si="100"/>
        <v>172.24685437940323</v>
      </c>
      <c r="Y182">
        <f t="shared" si="101"/>
        <v>915282.57022527314</v>
      </c>
      <c r="Z182">
        <f t="shared" si="102"/>
        <v>406.38546118002125</v>
      </c>
      <c r="AA182" s="29">
        <v>516572.289493152</v>
      </c>
      <c r="AB182">
        <f t="shared" si="144"/>
        <v>3719320.4843506943</v>
      </c>
      <c r="AC182">
        <f t="shared" si="103"/>
        <v>5313314.9776438493</v>
      </c>
      <c r="AD182">
        <f t="shared" si="104"/>
        <v>44.277624813698743</v>
      </c>
      <c r="AE182">
        <f t="shared" si="105"/>
        <v>172.24958267722917</v>
      </c>
      <c r="AF182">
        <f t="shared" si="106"/>
        <v>915216.2875318242</v>
      </c>
      <c r="AG182">
        <f t="shared" si="107"/>
        <v>406.35603166412994</v>
      </c>
      <c r="AH182" s="29">
        <v>524860.034239728</v>
      </c>
      <c r="AI182">
        <f t="shared" si="108"/>
        <v>3778992.2465260415</v>
      </c>
      <c r="AJ182">
        <f t="shared" si="109"/>
        <v>5398560.3521800591</v>
      </c>
      <c r="AK182">
        <f t="shared" si="110"/>
        <v>44.988002934833823</v>
      </c>
      <c r="AL182">
        <f t="shared" si="111"/>
        <v>171.75365832851224</v>
      </c>
      <c r="AM182">
        <f t="shared" si="112"/>
        <v>927222.49019418657</v>
      </c>
      <c r="AN182">
        <f t="shared" si="113"/>
        <v>411.68678564621882</v>
      </c>
      <c r="AO182" s="29">
        <v>104823.035419534</v>
      </c>
      <c r="AP182">
        <f t="shared" si="114"/>
        <v>754725.85502064484</v>
      </c>
      <c r="AQ182">
        <f t="shared" si="115"/>
        <v>1078179.7928866355</v>
      </c>
      <c r="AR182">
        <f t="shared" si="116"/>
        <v>8.9848316073886298</v>
      </c>
      <c r="AS182">
        <f t="shared" si="117"/>
        <v>196.88794774578528</v>
      </c>
      <c r="AT182">
        <f t="shared" si="118"/>
        <v>212280.60672242549</v>
      </c>
      <c r="AU182">
        <f t="shared" si="119"/>
        <v>94.252589384756917</v>
      </c>
      <c r="AV182" s="29">
        <v>0</v>
      </c>
      <c r="AW182">
        <f t="shared" si="120"/>
        <v>0</v>
      </c>
      <c r="AX182">
        <f t="shared" si="121"/>
        <v>0</v>
      </c>
      <c r="AY182">
        <f t="shared" si="122"/>
        <v>0</v>
      </c>
      <c r="AZ182">
        <f t="shared" si="123"/>
        <v>203.16037735849056</v>
      </c>
      <c r="BA182">
        <f t="shared" si="124"/>
        <v>0</v>
      </c>
      <c r="BB182">
        <f t="shared" si="125"/>
        <v>0</v>
      </c>
      <c r="BC182" s="29">
        <v>386492.17144413001</v>
      </c>
      <c r="BD182">
        <f t="shared" si="126"/>
        <v>2782743.6343977363</v>
      </c>
      <c r="BE182">
        <f t="shared" si="127"/>
        <v>3975348.0491396231</v>
      </c>
      <c r="BF182">
        <f t="shared" si="128"/>
        <v>33.12790040949686</v>
      </c>
      <c r="BG182">
        <f t="shared" si="129"/>
        <v>180.03335254431352</v>
      </c>
      <c r="BH182">
        <f t="shared" si="130"/>
        <v>715695.23681710265</v>
      </c>
      <c r="BI182">
        <f t="shared" si="131"/>
        <v>317.76868514679359</v>
      </c>
      <c r="BJ182" s="29">
        <v>329301.14879712899</v>
      </c>
      <c r="BK182">
        <f t="shared" si="132"/>
        <v>2370968.271339329</v>
      </c>
      <c r="BL182">
        <f t="shared" si="133"/>
        <v>3387097.5304847555</v>
      </c>
      <c r="BM182">
        <f t="shared" si="134"/>
        <v>28.22581275403963</v>
      </c>
      <c r="BN182">
        <f t="shared" si="135"/>
        <v>183.45556468114214</v>
      </c>
      <c r="BO182">
        <f t="shared" si="136"/>
        <v>621381.89008518285</v>
      </c>
      <c r="BP182">
        <f t="shared" si="137"/>
        <v>275.89355919782116</v>
      </c>
    </row>
    <row r="183" spans="1:68" x14ac:dyDescent="0.25">
      <c r="A183">
        <v>18</v>
      </c>
      <c r="B183">
        <v>180</v>
      </c>
      <c r="C183">
        <f t="shared" si="140"/>
        <v>7.4000000000000003E-3</v>
      </c>
      <c r="D183">
        <v>0</v>
      </c>
      <c r="E183">
        <f t="shared" si="87"/>
        <v>0</v>
      </c>
      <c r="F183" s="29">
        <v>499996.8</v>
      </c>
      <c r="G183">
        <f t="shared" si="88"/>
        <v>3599976.96</v>
      </c>
      <c r="H183">
        <f t="shared" si="89"/>
        <v>5142824.2285714289</v>
      </c>
      <c r="I183">
        <f t="shared" si="90"/>
        <v>42.856868571428571</v>
      </c>
      <c r="J183">
        <f t="shared" si="91"/>
        <v>173.24143137466308</v>
      </c>
      <c r="K183">
        <f t="shared" si="92"/>
        <v>890950.2306660118</v>
      </c>
      <c r="L183">
        <f t="shared" si="93"/>
        <v>0</v>
      </c>
      <c r="M183" s="7">
        <v>466571.983208986</v>
      </c>
      <c r="N183">
        <f t="shared" si="94"/>
        <v>3359318.2791046994</v>
      </c>
      <c r="O183">
        <f t="shared" si="95"/>
        <v>4799026.1130067138</v>
      </c>
      <c r="P183">
        <f t="shared" si="96"/>
        <v>39.991884275055952</v>
      </c>
      <c r="Q183">
        <f t="shared" si="97"/>
        <v>175.24151475137603</v>
      </c>
      <c r="R183">
        <f t="shared" si="98"/>
        <v>840988.60537470481</v>
      </c>
      <c r="S183">
        <f t="shared" si="99"/>
        <v>0</v>
      </c>
      <c r="T183" s="29">
        <v>449939.60243453499</v>
      </c>
      <c r="U183">
        <f t="shared" si="141"/>
        <v>3239565.1375286519</v>
      </c>
      <c r="V183">
        <f t="shared" si="142"/>
        <v>4627950.1964695025</v>
      </c>
      <c r="W183">
        <f t="shared" si="143"/>
        <v>38.566251637245855</v>
      </c>
      <c r="X183">
        <f t="shared" si="100"/>
        <v>176.23676772494156</v>
      </c>
      <c r="Y183">
        <f t="shared" si="101"/>
        <v>815614.98381779331</v>
      </c>
      <c r="Z183">
        <f t="shared" si="102"/>
        <v>0</v>
      </c>
      <c r="AA183" s="29">
        <v>449699.34585600003</v>
      </c>
      <c r="AB183">
        <f t="shared" si="144"/>
        <v>3237835.2901632003</v>
      </c>
      <c r="AC183">
        <f t="shared" si="103"/>
        <v>4625478.9859474292</v>
      </c>
      <c r="AD183">
        <f t="shared" si="104"/>
        <v>38.545658216228574</v>
      </c>
      <c r="AE183">
        <f t="shared" si="105"/>
        <v>176.25114426414231</v>
      </c>
      <c r="AF183">
        <f t="shared" si="106"/>
        <v>815245.96404297906</v>
      </c>
      <c r="AG183">
        <f t="shared" si="107"/>
        <v>0</v>
      </c>
      <c r="AH183" s="29">
        <v>424550.61878399999</v>
      </c>
      <c r="AI183">
        <f t="shared" si="108"/>
        <v>3056764.4552448001</v>
      </c>
      <c r="AJ183">
        <f t="shared" si="109"/>
        <v>4366806.3646354284</v>
      </c>
      <c r="AK183">
        <f t="shared" si="110"/>
        <v>36.390053038628565</v>
      </c>
      <c r="AL183">
        <f t="shared" si="111"/>
        <v>177.75600070888194</v>
      </c>
      <c r="AM183">
        <f t="shared" si="112"/>
        <v>776226.03524768539</v>
      </c>
      <c r="AN183">
        <f t="shared" si="113"/>
        <v>0</v>
      </c>
      <c r="AO183" s="29">
        <v>224836.77895614499</v>
      </c>
      <c r="AP183">
        <f t="shared" si="114"/>
        <v>1618824.8084842439</v>
      </c>
      <c r="AQ183">
        <f t="shared" si="115"/>
        <v>2312606.8692632057</v>
      </c>
      <c r="AR183">
        <f t="shared" si="116"/>
        <v>19.271723910526713</v>
      </c>
      <c r="AS183">
        <f t="shared" si="117"/>
        <v>189.70653236434927</v>
      </c>
      <c r="AT183">
        <f t="shared" si="118"/>
        <v>438716.62988989672</v>
      </c>
      <c r="AU183">
        <f t="shared" si="119"/>
        <v>0</v>
      </c>
      <c r="AV183" s="29">
        <v>0</v>
      </c>
      <c r="AW183">
        <f t="shared" si="120"/>
        <v>0</v>
      </c>
      <c r="AX183">
        <f t="shared" si="121"/>
        <v>0</v>
      </c>
      <c r="AY183">
        <f t="shared" si="122"/>
        <v>0</v>
      </c>
      <c r="AZ183">
        <f t="shared" si="123"/>
        <v>203.16037735849056</v>
      </c>
      <c r="BA183">
        <f t="shared" si="124"/>
        <v>0</v>
      </c>
      <c r="BB183">
        <f t="shared" si="125"/>
        <v>0</v>
      </c>
      <c r="BC183" s="29">
        <v>472208.72065391898</v>
      </c>
      <c r="BD183">
        <f t="shared" si="126"/>
        <v>3399902.7887082165</v>
      </c>
      <c r="BE183">
        <f t="shared" si="127"/>
        <v>4857003.9838688811</v>
      </c>
      <c r="BF183">
        <f t="shared" si="128"/>
        <v>40.47503319890734</v>
      </c>
      <c r="BG183">
        <f t="shared" si="129"/>
        <v>174.90422210642316</v>
      </c>
      <c r="BH183">
        <f t="shared" si="130"/>
        <v>849510.5035663849</v>
      </c>
      <c r="BI183">
        <f t="shared" si="131"/>
        <v>0</v>
      </c>
      <c r="BJ183" s="29">
        <v>458180.58929270902</v>
      </c>
      <c r="BK183">
        <f t="shared" si="132"/>
        <v>3298900.242907505</v>
      </c>
      <c r="BL183">
        <f t="shared" si="133"/>
        <v>4712714.6327250069</v>
      </c>
      <c r="BM183">
        <f t="shared" si="134"/>
        <v>39.272621939375057</v>
      </c>
      <c r="BN183">
        <f t="shared" si="135"/>
        <v>175.7436412876061</v>
      </c>
      <c r="BO183">
        <f t="shared" si="136"/>
        <v>828229.62990447588</v>
      </c>
      <c r="BP183">
        <f t="shared" si="137"/>
        <v>0</v>
      </c>
    </row>
    <row r="184" spans="1:68" x14ac:dyDescent="0.25">
      <c r="A184">
        <v>20</v>
      </c>
      <c r="B184">
        <v>0</v>
      </c>
      <c r="C184">
        <f>$AB$12</f>
        <v>2.5000000000000001E-3</v>
      </c>
      <c r="D184" cm="1">
        <f t="array" ref="D184:D193">$AD$2:$AD$11</f>
        <v>0</v>
      </c>
      <c r="E184">
        <f t="shared" si="87"/>
        <v>0</v>
      </c>
      <c r="F184" s="29">
        <v>499996.8</v>
      </c>
      <c r="G184">
        <f t="shared" si="88"/>
        <v>3599976.96</v>
      </c>
      <c r="H184">
        <f t="shared" si="89"/>
        <v>5142824.2285714289</v>
      </c>
      <c r="I184">
        <f t="shared" si="90"/>
        <v>42.856868571428571</v>
      </c>
      <c r="J184">
        <f t="shared" si="91"/>
        <v>173.24143137466308</v>
      </c>
      <c r="K184">
        <f t="shared" si="92"/>
        <v>890950.2306660118</v>
      </c>
      <c r="L184">
        <f t="shared" si="93"/>
        <v>0</v>
      </c>
      <c r="M184" s="7">
        <v>508633.94185061503</v>
      </c>
      <c r="N184">
        <f t="shared" si="94"/>
        <v>3662164.3813244281</v>
      </c>
      <c r="O184">
        <f t="shared" si="95"/>
        <v>5231663.4018920409</v>
      </c>
      <c r="P184">
        <f t="shared" si="96"/>
        <v>43.597195015767007</v>
      </c>
      <c r="Q184">
        <f t="shared" si="97"/>
        <v>172.72459970597399</v>
      </c>
      <c r="R184">
        <f t="shared" si="98"/>
        <v>903636.96688819688</v>
      </c>
      <c r="S184">
        <f t="shared" si="99"/>
        <v>0</v>
      </c>
      <c r="T184" s="29">
        <v>512942.01603138499</v>
      </c>
      <c r="U184">
        <f t="shared" si="141"/>
        <v>3693182.5154259722</v>
      </c>
      <c r="V184">
        <f t="shared" si="142"/>
        <v>5275975.0220371038</v>
      </c>
      <c r="W184">
        <f t="shared" si="143"/>
        <v>43.966458516975862</v>
      </c>
      <c r="X184">
        <f t="shared" si="100"/>
        <v>172.46681197871496</v>
      </c>
      <c r="Y184">
        <f t="shared" si="101"/>
        <v>909930.59213006974</v>
      </c>
      <c r="Z184">
        <f t="shared" si="102"/>
        <v>0</v>
      </c>
      <c r="AA184" s="29">
        <v>512973.51782399998</v>
      </c>
      <c r="AB184">
        <f t="shared" si="144"/>
        <v>3693409.3283328</v>
      </c>
      <c r="AC184">
        <f t="shared" si="103"/>
        <v>5276299.0404754281</v>
      </c>
      <c r="AD184">
        <f t="shared" si="104"/>
        <v>43.969158670628566</v>
      </c>
      <c r="AE184">
        <f t="shared" si="105"/>
        <v>172.46492696578761</v>
      </c>
      <c r="AF184">
        <f t="shared" si="106"/>
        <v>909976.52866524993</v>
      </c>
      <c r="AG184">
        <f t="shared" si="107"/>
        <v>0</v>
      </c>
      <c r="AH184" s="29">
        <v>519461.87673600001</v>
      </c>
      <c r="AI184">
        <f t="shared" si="108"/>
        <v>3740125.5124992002</v>
      </c>
      <c r="AJ184">
        <f t="shared" si="109"/>
        <v>5343036.4464274291</v>
      </c>
      <c r="AK184">
        <f t="shared" si="110"/>
        <v>44.525303720228578</v>
      </c>
      <c r="AL184">
        <f t="shared" si="111"/>
        <v>172.07667476134986</v>
      </c>
      <c r="AM184">
        <f t="shared" si="112"/>
        <v>919411.94482993125</v>
      </c>
      <c r="AN184">
        <f t="shared" si="113"/>
        <v>0</v>
      </c>
      <c r="AO184" s="29">
        <v>571075.78965082602</v>
      </c>
      <c r="AP184">
        <f t="shared" si="114"/>
        <v>4111745.6854859474</v>
      </c>
      <c r="AQ184">
        <f t="shared" si="115"/>
        <v>5873922.4078370677</v>
      </c>
      <c r="AR184">
        <f t="shared" si="116"/>
        <v>48.949353398642231</v>
      </c>
      <c r="AS184">
        <f t="shared" si="117"/>
        <v>168.98818725000447</v>
      </c>
      <c r="AT184">
        <f t="shared" si="118"/>
        <v>992623.49974756758</v>
      </c>
      <c r="AU184">
        <f t="shared" si="119"/>
        <v>0</v>
      </c>
      <c r="AV184" s="29">
        <v>641973.42538112903</v>
      </c>
      <c r="AW184">
        <f t="shared" si="120"/>
        <v>4622208.6627441291</v>
      </c>
      <c r="AX184">
        <f t="shared" si="121"/>
        <v>6603155.2324916134</v>
      </c>
      <c r="AY184">
        <f t="shared" si="122"/>
        <v>55.026293604096779</v>
      </c>
      <c r="AZ184">
        <f t="shared" si="123"/>
        <v>164.74579503110226</v>
      </c>
      <c r="BA184">
        <f t="shared" si="124"/>
        <v>1087842.0584906137</v>
      </c>
      <c r="BB184">
        <f t="shared" si="125"/>
        <v>0</v>
      </c>
      <c r="BC184" s="29">
        <v>507177.451916933</v>
      </c>
      <c r="BD184">
        <f t="shared" si="126"/>
        <v>3651677.6538019176</v>
      </c>
      <c r="BE184">
        <f t="shared" si="127"/>
        <v>5216682.3625741675</v>
      </c>
      <c r="BF184">
        <f t="shared" si="128"/>
        <v>43.472353021451397</v>
      </c>
      <c r="BG184">
        <f t="shared" si="129"/>
        <v>172.81175355106222</v>
      </c>
      <c r="BH184">
        <f t="shared" si="130"/>
        <v>901504.02679534</v>
      </c>
      <c r="BI184">
        <f t="shared" si="131"/>
        <v>0</v>
      </c>
      <c r="BJ184" s="29">
        <v>510785.36129107198</v>
      </c>
      <c r="BK184">
        <f t="shared" si="132"/>
        <v>3677654.6012957185</v>
      </c>
      <c r="BL184">
        <f t="shared" si="133"/>
        <v>5253792.2875653123</v>
      </c>
      <c r="BM184">
        <f t="shared" si="134"/>
        <v>43.7816023963776</v>
      </c>
      <c r="BN184">
        <f t="shared" si="135"/>
        <v>172.59586247800056</v>
      </c>
      <c r="BO184">
        <f t="shared" si="136"/>
        <v>906782.81115260255</v>
      </c>
      <c r="BP184">
        <f t="shared" si="137"/>
        <v>0</v>
      </c>
    </row>
    <row r="185" spans="1:68" x14ac:dyDescent="0.25">
      <c r="A185">
        <v>20</v>
      </c>
      <c r="B185">
        <v>20</v>
      </c>
      <c r="C185">
        <f t="shared" ref="C185:C193" si="145">$AB$12</f>
        <v>2.5000000000000001E-3</v>
      </c>
      <c r="D185">
        <v>0.06</v>
      </c>
      <c r="E185">
        <f t="shared" si="87"/>
        <v>1.4999999999999999E-2</v>
      </c>
      <c r="F185" s="29">
        <v>499996.8</v>
      </c>
      <c r="G185">
        <f t="shared" si="88"/>
        <v>3599976.96</v>
      </c>
      <c r="H185">
        <f t="shared" si="89"/>
        <v>5142824.2285714289</v>
      </c>
      <c r="I185">
        <f t="shared" si="90"/>
        <v>42.856868571428571</v>
      </c>
      <c r="J185">
        <f t="shared" si="91"/>
        <v>173.24143137466308</v>
      </c>
      <c r="K185">
        <f t="shared" si="92"/>
        <v>890950.2306660118</v>
      </c>
      <c r="L185">
        <f t="shared" si="93"/>
        <v>133.64253459990175</v>
      </c>
      <c r="M185" s="7">
        <v>535923.37859354995</v>
      </c>
      <c r="N185">
        <f t="shared" si="94"/>
        <v>3858648.3258735598</v>
      </c>
      <c r="O185">
        <f t="shared" si="95"/>
        <v>5512354.7512479424</v>
      </c>
      <c r="P185">
        <f t="shared" si="96"/>
        <v>45.936289593732852</v>
      </c>
      <c r="Q185">
        <f t="shared" si="97"/>
        <v>171.09164688739406</v>
      </c>
      <c r="R185">
        <f t="shared" si="98"/>
        <v>943117.85261856182</v>
      </c>
      <c r="S185">
        <f t="shared" si="99"/>
        <v>141.46767789278425</v>
      </c>
      <c r="T185" s="29">
        <v>553882.45996617596</v>
      </c>
      <c r="U185">
        <f t="shared" si="141"/>
        <v>3987953.7117564669</v>
      </c>
      <c r="V185">
        <f t="shared" si="142"/>
        <v>5697076.7310806662</v>
      </c>
      <c r="W185">
        <f t="shared" si="143"/>
        <v>47.475639425672213</v>
      </c>
      <c r="X185">
        <f t="shared" si="100"/>
        <v>170.01700643868168</v>
      </c>
      <c r="Y185">
        <f t="shared" si="101"/>
        <v>968599.93126980518</v>
      </c>
      <c r="Z185">
        <f t="shared" si="102"/>
        <v>145.28998969047078</v>
      </c>
      <c r="AA185" s="29">
        <v>553895.07751363004</v>
      </c>
      <c r="AB185">
        <f t="shared" si="144"/>
        <v>3988044.5580981364</v>
      </c>
      <c r="AC185">
        <f t="shared" si="103"/>
        <v>5697206.5115687661</v>
      </c>
      <c r="AD185">
        <f t="shared" si="104"/>
        <v>47.476720929739713</v>
      </c>
      <c r="AE185">
        <f t="shared" si="105"/>
        <v>170.01625142640813</v>
      </c>
      <c r="AF185">
        <f t="shared" si="106"/>
        <v>968617.69469904492</v>
      </c>
      <c r="AG185">
        <f t="shared" si="107"/>
        <v>145.29265420485672</v>
      </c>
      <c r="AH185" s="29">
        <v>580844.21627044596</v>
      </c>
      <c r="AI185">
        <f t="shared" si="108"/>
        <v>4182078.3571472112</v>
      </c>
      <c r="AJ185">
        <f t="shared" si="109"/>
        <v>5974397.6530674445</v>
      </c>
      <c r="AK185">
        <f t="shared" si="110"/>
        <v>49.786647108895373</v>
      </c>
      <c r="AL185">
        <f t="shared" si="111"/>
        <v>168.40366145228057</v>
      </c>
      <c r="AM185">
        <f t="shared" si="112"/>
        <v>1006110.4397484695</v>
      </c>
      <c r="AN185">
        <f t="shared" si="113"/>
        <v>150.91656596227043</v>
      </c>
      <c r="AO185" s="29">
        <v>486452.96504587599</v>
      </c>
      <c r="AP185">
        <f t="shared" si="114"/>
        <v>3502461.3483303073</v>
      </c>
      <c r="AQ185">
        <f t="shared" si="115"/>
        <v>5003516.2119004382</v>
      </c>
      <c r="AR185">
        <f t="shared" si="116"/>
        <v>41.695968432503648</v>
      </c>
      <c r="AS185">
        <f t="shared" si="117"/>
        <v>174.05187109428991</v>
      </c>
      <c r="AT185">
        <f t="shared" si="118"/>
        <v>870871.35873188486</v>
      </c>
      <c r="AU185">
        <f t="shared" si="119"/>
        <v>130.63070380978272</v>
      </c>
      <c r="AV185" s="29">
        <v>472663.976822072</v>
      </c>
      <c r="AW185">
        <f t="shared" si="120"/>
        <v>3403180.6331189186</v>
      </c>
      <c r="AX185">
        <f t="shared" si="121"/>
        <v>4861686.6187413121</v>
      </c>
      <c r="AY185">
        <f t="shared" si="122"/>
        <v>40.514055156177598</v>
      </c>
      <c r="AZ185">
        <f t="shared" si="123"/>
        <v>174.87698036266846</v>
      </c>
      <c r="BA185">
        <f t="shared" si="124"/>
        <v>850197.07535507251</v>
      </c>
      <c r="BB185">
        <f t="shared" si="125"/>
        <v>127.52956130326086</v>
      </c>
      <c r="BC185" s="29">
        <v>480818.51316230302</v>
      </c>
      <c r="BD185">
        <f t="shared" si="126"/>
        <v>3461893.2947685816</v>
      </c>
      <c r="BE185">
        <f t="shared" si="127"/>
        <v>4945561.8496694015</v>
      </c>
      <c r="BF185">
        <f t="shared" si="128"/>
        <v>41.213015413911677</v>
      </c>
      <c r="BG185">
        <f t="shared" si="129"/>
        <v>174.38902697519373</v>
      </c>
      <c r="BH185">
        <f t="shared" si="130"/>
        <v>862451.71880948625</v>
      </c>
      <c r="BI185">
        <f t="shared" si="131"/>
        <v>129.36775782142291</v>
      </c>
      <c r="BJ185" s="29">
        <v>471255.14022948901</v>
      </c>
      <c r="BK185">
        <f t="shared" si="132"/>
        <v>3393037.0096523208</v>
      </c>
      <c r="BL185">
        <f t="shared" si="133"/>
        <v>4847195.7280747443</v>
      </c>
      <c r="BM185">
        <f t="shared" si="134"/>
        <v>40.393297733956203</v>
      </c>
      <c r="BN185">
        <f t="shared" si="135"/>
        <v>174.96128271403057</v>
      </c>
      <c r="BO185">
        <f t="shared" si="136"/>
        <v>848071.58214992669</v>
      </c>
      <c r="BP185">
        <f t="shared" si="137"/>
        <v>127.210737322489</v>
      </c>
    </row>
    <row r="186" spans="1:68" x14ac:dyDescent="0.25">
      <c r="A186">
        <v>20</v>
      </c>
      <c r="B186">
        <v>40</v>
      </c>
      <c r="C186">
        <f t="shared" si="145"/>
        <v>2.5000000000000001E-3</v>
      </c>
      <c r="D186">
        <v>0.113</v>
      </c>
      <c r="E186">
        <f t="shared" si="87"/>
        <v>2.8250000000000004E-2</v>
      </c>
      <c r="F186" s="29">
        <v>499996.8</v>
      </c>
      <c r="G186">
        <f t="shared" si="88"/>
        <v>3599976.96</v>
      </c>
      <c r="H186">
        <f t="shared" si="89"/>
        <v>5142824.2285714289</v>
      </c>
      <c r="I186">
        <f t="shared" si="90"/>
        <v>42.856868571428571</v>
      </c>
      <c r="J186">
        <f t="shared" si="91"/>
        <v>173.24143137466308</v>
      </c>
      <c r="K186">
        <f t="shared" si="92"/>
        <v>890950.2306660118</v>
      </c>
      <c r="L186">
        <f t="shared" si="93"/>
        <v>251.69344016314838</v>
      </c>
      <c r="M186" s="7">
        <v>507335.619369636</v>
      </c>
      <c r="N186">
        <f t="shared" si="94"/>
        <v>3652816.4594613793</v>
      </c>
      <c r="O186">
        <f t="shared" si="95"/>
        <v>5218309.2278019702</v>
      </c>
      <c r="P186">
        <f t="shared" si="96"/>
        <v>43.485910231683086</v>
      </c>
      <c r="Q186">
        <f t="shared" si="97"/>
        <v>172.80228908354201</v>
      </c>
      <c r="R186">
        <f t="shared" si="98"/>
        <v>901735.7797099509</v>
      </c>
      <c r="S186">
        <f t="shared" si="99"/>
        <v>254.74035776806116</v>
      </c>
      <c r="T186" s="29">
        <v>511005.1184568</v>
      </c>
      <c r="U186">
        <f t="shared" si="141"/>
        <v>3679236.8528889599</v>
      </c>
      <c r="V186">
        <f t="shared" si="142"/>
        <v>5256052.6469842279</v>
      </c>
      <c r="W186">
        <f t="shared" si="143"/>
        <v>43.800438724868563</v>
      </c>
      <c r="X186">
        <f t="shared" si="100"/>
        <v>172.5827125882993</v>
      </c>
      <c r="Y186">
        <f t="shared" si="101"/>
        <v>907103.82332344877</v>
      </c>
      <c r="Z186">
        <f t="shared" si="102"/>
        <v>256.25683008887432</v>
      </c>
      <c r="AA186" s="29">
        <v>511004.85029589297</v>
      </c>
      <c r="AB186">
        <f t="shared" si="144"/>
        <v>3679234.9221304297</v>
      </c>
      <c r="AC186">
        <f t="shared" si="103"/>
        <v>5256049.8887577569</v>
      </c>
      <c r="AD186">
        <f t="shared" si="104"/>
        <v>43.800415739647974</v>
      </c>
      <c r="AE186">
        <f t="shared" si="105"/>
        <v>172.58272863458538</v>
      </c>
      <c r="AF186">
        <f t="shared" si="106"/>
        <v>907103.43164132256</v>
      </c>
      <c r="AG186">
        <f t="shared" si="107"/>
        <v>256.25671943867366</v>
      </c>
      <c r="AH186" s="29">
        <v>516508.87544383999</v>
      </c>
      <c r="AI186">
        <f t="shared" si="108"/>
        <v>3718863.903195648</v>
      </c>
      <c r="AJ186">
        <f t="shared" si="109"/>
        <v>5312662.7188509256</v>
      </c>
      <c r="AK186">
        <f t="shared" si="110"/>
        <v>44.272189323757715</v>
      </c>
      <c r="AL186">
        <f t="shared" si="111"/>
        <v>172.25337726454649</v>
      </c>
      <c r="AM186">
        <f t="shared" si="112"/>
        <v>915124.09558951971</v>
      </c>
      <c r="AN186">
        <f t="shared" si="113"/>
        <v>258.52255700403936</v>
      </c>
      <c r="AO186" s="29">
        <v>381004.97449196997</v>
      </c>
      <c r="AP186">
        <f t="shared" si="114"/>
        <v>2743235.8163421839</v>
      </c>
      <c r="AQ186">
        <f t="shared" si="115"/>
        <v>3918908.309060263</v>
      </c>
      <c r="AR186">
        <f t="shared" si="116"/>
        <v>32.657569242168861</v>
      </c>
      <c r="AS186">
        <f t="shared" si="117"/>
        <v>180.36169694414627</v>
      </c>
      <c r="AT186">
        <f t="shared" si="118"/>
        <v>706820.95279062388</v>
      </c>
      <c r="AU186">
        <f t="shared" si="119"/>
        <v>199.67691916335127</v>
      </c>
      <c r="AV186" s="29">
        <v>261580.258442572</v>
      </c>
      <c r="AW186">
        <f t="shared" si="120"/>
        <v>1883377.8607865183</v>
      </c>
      <c r="AX186">
        <f t="shared" si="121"/>
        <v>2690539.8011235977</v>
      </c>
      <c r="AY186">
        <f t="shared" si="122"/>
        <v>22.421165009363314</v>
      </c>
      <c r="AZ186">
        <f t="shared" si="123"/>
        <v>187.50786593685956</v>
      </c>
      <c r="BA186">
        <f t="shared" si="124"/>
        <v>504497.37632686837</v>
      </c>
      <c r="BB186">
        <f t="shared" si="125"/>
        <v>142.52050881234032</v>
      </c>
      <c r="BC186" s="29">
        <v>395514.76698430098</v>
      </c>
      <c r="BD186">
        <f t="shared" si="126"/>
        <v>2847706.3222869672</v>
      </c>
      <c r="BE186">
        <f t="shared" si="127"/>
        <v>4068151.8889813814</v>
      </c>
      <c r="BF186">
        <f t="shared" si="128"/>
        <v>33.901265741511516</v>
      </c>
      <c r="BG186">
        <f t="shared" si="129"/>
        <v>179.49345599177497</v>
      </c>
      <c r="BH186">
        <f t="shared" si="130"/>
        <v>730206.64205273578</v>
      </c>
      <c r="BI186">
        <f t="shared" si="131"/>
        <v>206.28337637989787</v>
      </c>
      <c r="BJ186" s="29">
        <v>343448.879372011</v>
      </c>
      <c r="BK186">
        <f t="shared" si="132"/>
        <v>2472831.9314784794</v>
      </c>
      <c r="BL186">
        <f t="shared" si="133"/>
        <v>3532617.0449692565</v>
      </c>
      <c r="BM186">
        <f t="shared" si="134"/>
        <v>29.438475374743803</v>
      </c>
      <c r="BN186">
        <f t="shared" si="135"/>
        <v>182.60898888932979</v>
      </c>
      <c r="BO186">
        <f t="shared" si="136"/>
        <v>645087.62671504798</v>
      </c>
      <c r="BP186">
        <f t="shared" si="137"/>
        <v>182.23725454700107</v>
      </c>
    </row>
    <row r="187" spans="1:68" x14ac:dyDescent="0.25">
      <c r="A187">
        <v>20</v>
      </c>
      <c r="B187">
        <v>60</v>
      </c>
      <c r="C187">
        <f t="shared" si="145"/>
        <v>2.5000000000000001E-3</v>
      </c>
      <c r="D187">
        <v>0.153</v>
      </c>
      <c r="E187">
        <f t="shared" si="87"/>
        <v>3.8250000000000006E-2</v>
      </c>
      <c r="F187" s="29">
        <v>499996.8</v>
      </c>
      <c r="G187">
        <f t="shared" si="88"/>
        <v>3599976.96</v>
      </c>
      <c r="H187">
        <f t="shared" si="89"/>
        <v>5142824.2285714289</v>
      </c>
      <c r="I187">
        <f t="shared" si="90"/>
        <v>42.856868571428571</v>
      </c>
      <c r="J187">
        <f t="shared" si="91"/>
        <v>173.24143137466308</v>
      </c>
      <c r="K187">
        <f t="shared" si="92"/>
        <v>890950.2306660118</v>
      </c>
      <c r="L187">
        <f t="shared" si="93"/>
        <v>340.7884632297496</v>
      </c>
      <c r="M187" s="7">
        <v>430578.53554051003</v>
      </c>
      <c r="N187">
        <f t="shared" si="94"/>
        <v>3100165.4558916721</v>
      </c>
      <c r="O187">
        <f t="shared" si="95"/>
        <v>4428807.7941309595</v>
      </c>
      <c r="P187">
        <f t="shared" si="96"/>
        <v>36.906731617757998</v>
      </c>
      <c r="Q187">
        <f t="shared" si="97"/>
        <v>177.39530056873497</v>
      </c>
      <c r="R187">
        <f t="shared" si="98"/>
        <v>785649.68980101764</v>
      </c>
      <c r="S187">
        <f t="shared" si="99"/>
        <v>300.51100634888934</v>
      </c>
      <c r="T187" s="29">
        <v>395860.44192585902</v>
      </c>
      <c r="U187">
        <f t="shared" si="141"/>
        <v>2850195.1818661848</v>
      </c>
      <c r="V187">
        <f t="shared" si="142"/>
        <v>4071707.4026659788</v>
      </c>
      <c r="W187">
        <f t="shared" si="143"/>
        <v>33.93089502221649</v>
      </c>
      <c r="X187">
        <f t="shared" si="100"/>
        <v>179.4727713995847</v>
      </c>
      <c r="Y187">
        <f t="shared" si="101"/>
        <v>730760.611884668</v>
      </c>
      <c r="Z187">
        <f t="shared" si="102"/>
        <v>279.51593404588556</v>
      </c>
      <c r="AA187" s="29">
        <v>395887.32131657703</v>
      </c>
      <c r="AB187">
        <f t="shared" si="144"/>
        <v>2850388.7134793545</v>
      </c>
      <c r="AC187">
        <f t="shared" si="103"/>
        <v>4071983.8763990775</v>
      </c>
      <c r="AD187">
        <f t="shared" si="104"/>
        <v>33.933198969992311</v>
      </c>
      <c r="AE187">
        <f t="shared" si="105"/>
        <v>179.47116298321291</v>
      </c>
      <c r="AF187">
        <f t="shared" si="106"/>
        <v>730803.68194623385</v>
      </c>
      <c r="AG187">
        <f t="shared" si="107"/>
        <v>279.53240834443449</v>
      </c>
      <c r="AH187" s="29">
        <v>343832.581974865</v>
      </c>
      <c r="AI187">
        <f t="shared" si="108"/>
        <v>2475594.5902190278</v>
      </c>
      <c r="AJ187">
        <f t="shared" si="109"/>
        <v>3536563.7003128966</v>
      </c>
      <c r="AK187">
        <f t="shared" si="110"/>
        <v>29.471364169274135</v>
      </c>
      <c r="AL187">
        <f t="shared" si="111"/>
        <v>182.58602878748786</v>
      </c>
      <c r="AM187">
        <f t="shared" si="112"/>
        <v>645727.12159411516</v>
      </c>
      <c r="AN187">
        <f t="shared" si="113"/>
        <v>246.9906240097491</v>
      </c>
      <c r="AO187" s="29">
        <v>253015.39532586999</v>
      </c>
      <c r="AP187">
        <f t="shared" si="114"/>
        <v>1821710.846346264</v>
      </c>
      <c r="AQ187">
        <f t="shared" si="115"/>
        <v>2602444.0662089484</v>
      </c>
      <c r="AR187">
        <f t="shared" si="116"/>
        <v>21.68703388507457</v>
      </c>
      <c r="AS187">
        <f t="shared" si="117"/>
        <v>188.02037257079701</v>
      </c>
      <c r="AT187">
        <f t="shared" si="118"/>
        <v>489312.50292326644</v>
      </c>
      <c r="AU187">
        <f t="shared" si="119"/>
        <v>187.16203236814945</v>
      </c>
      <c r="AV187" s="29">
        <v>5459.9189147607503</v>
      </c>
      <c r="AW187">
        <f t="shared" si="120"/>
        <v>39311.416186277405</v>
      </c>
      <c r="AX187">
        <f t="shared" si="121"/>
        <v>56159.16598039629</v>
      </c>
      <c r="AY187">
        <f t="shared" si="122"/>
        <v>0.46799304983663575</v>
      </c>
      <c r="AZ187">
        <f t="shared" si="123"/>
        <v>202.83366522935933</v>
      </c>
      <c r="BA187">
        <f t="shared" si="124"/>
        <v>11390.969472027726</v>
      </c>
      <c r="BB187">
        <f t="shared" si="125"/>
        <v>4.3570458230506057</v>
      </c>
      <c r="BC187" s="29">
        <v>225181.22566568101</v>
      </c>
      <c r="BD187">
        <f t="shared" si="126"/>
        <v>1621304.8247929034</v>
      </c>
      <c r="BE187">
        <f t="shared" si="127"/>
        <v>2316149.7497041477</v>
      </c>
      <c r="BF187">
        <f t="shared" si="128"/>
        <v>19.30124791420123</v>
      </c>
      <c r="BG187">
        <f t="shared" si="129"/>
        <v>189.68592126744443</v>
      </c>
      <c r="BH187">
        <f t="shared" si="130"/>
        <v>439340.99906599207</v>
      </c>
      <c r="BI187">
        <f t="shared" si="131"/>
        <v>168.04793214274201</v>
      </c>
      <c r="BJ187" s="29">
        <v>88176.706056233699</v>
      </c>
      <c r="BK187">
        <f t="shared" si="132"/>
        <v>634872.28360488266</v>
      </c>
      <c r="BL187">
        <f t="shared" si="133"/>
        <v>906960.40514983237</v>
      </c>
      <c r="BM187">
        <f t="shared" si="134"/>
        <v>7.5580033762486032</v>
      </c>
      <c r="BN187">
        <f t="shared" si="135"/>
        <v>197.88403537884531</v>
      </c>
      <c r="BO187">
        <f t="shared" si="136"/>
        <v>179472.9848998813</v>
      </c>
      <c r="BP187">
        <f t="shared" si="137"/>
        <v>68.648416724204608</v>
      </c>
    </row>
    <row r="188" spans="1:68" x14ac:dyDescent="0.25">
      <c r="A188">
        <v>20</v>
      </c>
      <c r="B188">
        <v>80</v>
      </c>
      <c r="C188">
        <f t="shared" si="145"/>
        <v>2.5000000000000001E-3</v>
      </c>
      <c r="D188">
        <v>0.17399999999999999</v>
      </c>
      <c r="E188">
        <f t="shared" si="87"/>
        <v>4.3499999999999997E-2</v>
      </c>
      <c r="F188" s="29">
        <v>499996.8</v>
      </c>
      <c r="G188">
        <f t="shared" si="88"/>
        <v>3599976.96</v>
      </c>
      <c r="H188">
        <f t="shared" si="89"/>
        <v>5142824.2285714289</v>
      </c>
      <c r="I188">
        <f t="shared" si="90"/>
        <v>42.856868571428571</v>
      </c>
      <c r="J188">
        <f t="shared" si="91"/>
        <v>173.24143137466308</v>
      </c>
      <c r="K188">
        <f t="shared" si="92"/>
        <v>890950.2306660118</v>
      </c>
      <c r="L188">
        <f t="shared" si="93"/>
        <v>387.5633503397151</v>
      </c>
      <c r="M188" s="7">
        <v>357449.395256416</v>
      </c>
      <c r="N188">
        <f t="shared" si="94"/>
        <v>2573635.6458461951</v>
      </c>
      <c r="O188">
        <f t="shared" si="95"/>
        <v>3676622.3512088498</v>
      </c>
      <c r="P188">
        <f t="shared" si="96"/>
        <v>30.638519593407079</v>
      </c>
      <c r="Q188">
        <f t="shared" si="97"/>
        <v>181.77122217064033</v>
      </c>
      <c r="R188">
        <f t="shared" si="98"/>
        <v>668304.13823912584</v>
      </c>
      <c r="S188">
        <f t="shared" si="99"/>
        <v>290.7123001340197</v>
      </c>
      <c r="T188" s="29">
        <v>286176.05888231599</v>
      </c>
      <c r="U188">
        <f t="shared" si="141"/>
        <v>2060467.6239526751</v>
      </c>
      <c r="V188">
        <f t="shared" si="142"/>
        <v>2943525.1770752501</v>
      </c>
      <c r="W188">
        <f t="shared" si="143"/>
        <v>24.529376475627085</v>
      </c>
      <c r="X188">
        <f t="shared" si="100"/>
        <v>186.03609566795845</v>
      </c>
      <c r="Y188">
        <f t="shared" si="101"/>
        <v>547601.93144341547</v>
      </c>
      <c r="Z188">
        <f t="shared" si="102"/>
        <v>238.20684017788571</v>
      </c>
      <c r="AA188" s="29">
        <v>286174.96096289402</v>
      </c>
      <c r="AB188">
        <f t="shared" si="144"/>
        <v>2060459.718932837</v>
      </c>
      <c r="AC188">
        <f t="shared" si="103"/>
        <v>2943513.8841897673</v>
      </c>
      <c r="AD188">
        <f t="shared" si="104"/>
        <v>24.529282368248062</v>
      </c>
      <c r="AE188">
        <f t="shared" si="105"/>
        <v>186.03616136556266</v>
      </c>
      <c r="AF188">
        <f t="shared" si="106"/>
        <v>547600.02394090162</v>
      </c>
      <c r="AG188">
        <f t="shared" si="107"/>
        <v>238.20601041429217</v>
      </c>
      <c r="AH188" s="29">
        <v>179264.04144434101</v>
      </c>
      <c r="AI188">
        <f t="shared" si="108"/>
        <v>1290701.0983992554</v>
      </c>
      <c r="AJ188">
        <f t="shared" si="109"/>
        <v>1843858.7119989363</v>
      </c>
      <c r="AK188">
        <f t="shared" si="110"/>
        <v>15.365489266657802</v>
      </c>
      <c r="AL188">
        <f t="shared" si="111"/>
        <v>192.43352636101247</v>
      </c>
      <c r="AM188">
        <f t="shared" si="112"/>
        <v>354820.2340614298</v>
      </c>
      <c r="AN188">
        <f t="shared" si="113"/>
        <v>154.34680181672195</v>
      </c>
      <c r="AO188" s="29">
        <v>119096.313507</v>
      </c>
      <c r="AP188">
        <f t="shared" si="114"/>
        <v>857493.45725039998</v>
      </c>
      <c r="AQ188">
        <f t="shared" si="115"/>
        <v>1224990.6532148572</v>
      </c>
      <c r="AR188">
        <f t="shared" si="116"/>
        <v>10.208255443457144</v>
      </c>
      <c r="AS188">
        <f t="shared" si="117"/>
        <v>196.03385940739784</v>
      </c>
      <c r="AT188">
        <f t="shared" si="118"/>
        <v>240139.64548769774</v>
      </c>
      <c r="AU188">
        <f t="shared" si="119"/>
        <v>104.4607457871485</v>
      </c>
      <c r="AV188" s="29">
        <v>0</v>
      </c>
      <c r="AW188">
        <f t="shared" si="120"/>
        <v>0</v>
      </c>
      <c r="AX188">
        <f t="shared" si="121"/>
        <v>0</v>
      </c>
      <c r="AY188">
        <f t="shared" si="122"/>
        <v>0</v>
      </c>
      <c r="AZ188">
        <f t="shared" si="123"/>
        <v>203.16037735849056</v>
      </c>
      <c r="BA188">
        <f t="shared" si="124"/>
        <v>0</v>
      </c>
      <c r="BB188">
        <f t="shared" si="125"/>
        <v>0</v>
      </c>
      <c r="BC188" s="29">
        <v>35689.193746561999</v>
      </c>
      <c r="BD188">
        <f t="shared" si="126"/>
        <v>256962.19497524641</v>
      </c>
      <c r="BE188">
        <f t="shared" si="127"/>
        <v>367088.84996463772</v>
      </c>
      <c r="BF188">
        <f t="shared" si="128"/>
        <v>3.059073749705314</v>
      </c>
      <c r="BG188">
        <f t="shared" si="129"/>
        <v>201.02479757096043</v>
      </c>
      <c r="BH188">
        <f t="shared" si="130"/>
        <v>73793.961754697957</v>
      </c>
      <c r="BI188">
        <f t="shared" si="131"/>
        <v>32.100373363293606</v>
      </c>
      <c r="BJ188" s="29">
        <v>0</v>
      </c>
      <c r="BK188">
        <f t="shared" si="132"/>
        <v>0</v>
      </c>
      <c r="BL188">
        <f t="shared" si="133"/>
        <v>0</v>
      </c>
      <c r="BM188">
        <f t="shared" si="134"/>
        <v>0</v>
      </c>
      <c r="BN188">
        <f t="shared" si="135"/>
        <v>203.16037735849056</v>
      </c>
      <c r="BO188">
        <f t="shared" si="136"/>
        <v>0</v>
      </c>
      <c r="BP188">
        <f t="shared" si="137"/>
        <v>0</v>
      </c>
    </row>
    <row r="189" spans="1:68" x14ac:dyDescent="0.25">
      <c r="A189">
        <v>20</v>
      </c>
      <c r="B189">
        <v>100</v>
      </c>
      <c r="C189">
        <f t="shared" si="145"/>
        <v>2.5000000000000001E-3</v>
      </c>
      <c r="D189">
        <v>0.17399999999999999</v>
      </c>
      <c r="E189">
        <f t="shared" si="87"/>
        <v>4.3499999999999997E-2</v>
      </c>
      <c r="F189" s="29">
        <v>499996.8</v>
      </c>
      <c r="G189">
        <f t="shared" si="88"/>
        <v>3599976.96</v>
      </c>
      <c r="H189">
        <f t="shared" si="89"/>
        <v>5142824.2285714289</v>
      </c>
      <c r="I189">
        <f t="shared" si="90"/>
        <v>42.856868571428571</v>
      </c>
      <c r="J189">
        <f t="shared" si="91"/>
        <v>173.24143137466308</v>
      </c>
      <c r="K189">
        <f t="shared" si="92"/>
        <v>890950.2306660118</v>
      </c>
      <c r="L189">
        <f t="shared" si="93"/>
        <v>387.5633503397151</v>
      </c>
      <c r="M189" s="7">
        <v>348051.175039833</v>
      </c>
      <c r="N189">
        <f t="shared" si="94"/>
        <v>2505968.4602867975</v>
      </c>
      <c r="O189">
        <f t="shared" si="95"/>
        <v>3579954.9432668537</v>
      </c>
      <c r="P189">
        <f t="shared" si="96"/>
        <v>29.832957860557116</v>
      </c>
      <c r="Q189">
        <f t="shared" si="97"/>
        <v>182.3335954558375</v>
      </c>
      <c r="R189">
        <f t="shared" si="98"/>
        <v>652746.05637574417</v>
      </c>
      <c r="S189">
        <f t="shared" si="99"/>
        <v>283.94453452344868</v>
      </c>
      <c r="T189" s="29">
        <v>272113.19454954501</v>
      </c>
      <c r="U189">
        <f t="shared" si="141"/>
        <v>1959215.000756724</v>
      </c>
      <c r="V189">
        <f t="shared" si="142"/>
        <v>2798878.5725096059</v>
      </c>
      <c r="W189">
        <f t="shared" si="143"/>
        <v>23.323988104246716</v>
      </c>
      <c r="X189">
        <f t="shared" si="100"/>
        <v>186.87759321024285</v>
      </c>
      <c r="Y189">
        <f t="shared" si="101"/>
        <v>523047.69131831534</v>
      </c>
      <c r="Z189">
        <f t="shared" si="102"/>
        <v>227.52574572346714</v>
      </c>
      <c r="AA189" s="29">
        <v>272008.683342801</v>
      </c>
      <c r="AB189">
        <f t="shared" si="144"/>
        <v>1958462.5200681672</v>
      </c>
      <c r="AC189">
        <f t="shared" si="103"/>
        <v>2797803.6000973815</v>
      </c>
      <c r="AD189">
        <f t="shared" si="104"/>
        <v>23.315030000811511</v>
      </c>
      <c r="AE189">
        <f t="shared" si="105"/>
        <v>186.88384698056555</v>
      </c>
      <c r="AF189">
        <f t="shared" si="106"/>
        <v>522864.29988227447</v>
      </c>
      <c r="AG189">
        <f t="shared" si="107"/>
        <v>227.44597044878938</v>
      </c>
      <c r="AH189" s="29">
        <v>158014.625014202</v>
      </c>
      <c r="AI189">
        <f t="shared" si="108"/>
        <v>1137705.3001022544</v>
      </c>
      <c r="AJ189">
        <f t="shared" si="109"/>
        <v>1625293.2858603634</v>
      </c>
      <c r="AK189">
        <f t="shared" si="110"/>
        <v>13.544110715503027</v>
      </c>
      <c r="AL189">
        <f t="shared" si="111"/>
        <v>193.70505478351674</v>
      </c>
      <c r="AM189">
        <f t="shared" si="112"/>
        <v>314827.52497686364</v>
      </c>
      <c r="AN189">
        <f t="shared" si="113"/>
        <v>136.94997336493566</v>
      </c>
      <c r="AO189" s="29">
        <v>7010.7082527605198</v>
      </c>
      <c r="AP189">
        <f t="shared" si="114"/>
        <v>50477.099419875747</v>
      </c>
      <c r="AQ189">
        <f t="shared" si="115"/>
        <v>72110.142028393922</v>
      </c>
      <c r="AR189">
        <f t="shared" si="116"/>
        <v>0.60091785023661604</v>
      </c>
      <c r="AS189">
        <f t="shared" si="117"/>
        <v>202.74086867058952</v>
      </c>
      <c r="AT189">
        <f t="shared" si="118"/>
        <v>14619.672834796169</v>
      </c>
      <c r="AU189">
        <f t="shared" si="119"/>
        <v>6.359557683136333</v>
      </c>
      <c r="AV189" s="29">
        <v>0</v>
      </c>
      <c r="AW189">
        <f t="shared" si="120"/>
        <v>0</v>
      </c>
      <c r="AX189">
        <f t="shared" si="121"/>
        <v>0</v>
      </c>
      <c r="AY189">
        <f t="shared" si="122"/>
        <v>0</v>
      </c>
      <c r="AZ189">
        <f t="shared" si="123"/>
        <v>203.16037735849056</v>
      </c>
      <c r="BA189">
        <f t="shared" si="124"/>
        <v>0</v>
      </c>
      <c r="BB189">
        <f t="shared" si="125"/>
        <v>0</v>
      </c>
      <c r="BC189" s="29">
        <v>0</v>
      </c>
      <c r="BD189">
        <f t="shared" si="126"/>
        <v>0</v>
      </c>
      <c r="BE189">
        <f t="shared" si="127"/>
        <v>0</v>
      </c>
      <c r="BF189">
        <f t="shared" si="128"/>
        <v>0</v>
      </c>
      <c r="BG189">
        <f t="shared" si="129"/>
        <v>203.16037735849056</v>
      </c>
      <c r="BH189">
        <f t="shared" si="130"/>
        <v>0</v>
      </c>
      <c r="BI189">
        <f t="shared" si="131"/>
        <v>0</v>
      </c>
      <c r="BJ189" s="29">
        <v>0</v>
      </c>
      <c r="BK189">
        <f t="shared" si="132"/>
        <v>0</v>
      </c>
      <c r="BL189">
        <f t="shared" si="133"/>
        <v>0</v>
      </c>
      <c r="BM189">
        <f t="shared" si="134"/>
        <v>0</v>
      </c>
      <c r="BN189">
        <f t="shared" si="135"/>
        <v>203.16037735849056</v>
      </c>
      <c r="BO189">
        <f t="shared" si="136"/>
        <v>0</v>
      </c>
      <c r="BP189">
        <f t="shared" si="137"/>
        <v>0</v>
      </c>
    </row>
    <row r="190" spans="1:68" x14ac:dyDescent="0.25">
      <c r="A190">
        <v>20</v>
      </c>
      <c r="B190">
        <v>120</v>
      </c>
      <c r="C190">
        <f t="shared" si="145"/>
        <v>2.5000000000000001E-3</v>
      </c>
      <c r="D190">
        <v>0.153</v>
      </c>
      <c r="E190">
        <f t="shared" si="87"/>
        <v>3.8250000000000006E-2</v>
      </c>
      <c r="F190" s="29">
        <v>499996.8</v>
      </c>
      <c r="G190">
        <f t="shared" si="88"/>
        <v>3599976.96</v>
      </c>
      <c r="H190">
        <f t="shared" si="89"/>
        <v>5142824.2285714289</v>
      </c>
      <c r="I190">
        <f t="shared" si="90"/>
        <v>42.856868571428571</v>
      </c>
      <c r="J190">
        <f t="shared" si="91"/>
        <v>173.24143137466308</v>
      </c>
      <c r="K190">
        <f t="shared" si="92"/>
        <v>890950.2306660118</v>
      </c>
      <c r="L190">
        <f t="shared" si="93"/>
        <v>340.7884632297496</v>
      </c>
      <c r="M190" s="7">
        <v>412936.81913037098</v>
      </c>
      <c r="N190">
        <f t="shared" si="94"/>
        <v>2973145.0977386711</v>
      </c>
      <c r="O190">
        <f t="shared" si="95"/>
        <v>4247350.1396266734</v>
      </c>
      <c r="P190">
        <f t="shared" si="96"/>
        <v>35.394584496888946</v>
      </c>
      <c r="Q190">
        <f t="shared" si="97"/>
        <v>178.45095044556808</v>
      </c>
      <c r="R190">
        <f t="shared" si="98"/>
        <v>757943.66929149616</v>
      </c>
      <c r="S190">
        <f t="shared" si="99"/>
        <v>289.91345350399735</v>
      </c>
      <c r="T190" s="29">
        <v>369447.335008808</v>
      </c>
      <c r="U190">
        <f t="shared" si="141"/>
        <v>2660020.8120634179</v>
      </c>
      <c r="V190">
        <f t="shared" si="142"/>
        <v>3800029.7315191682</v>
      </c>
      <c r="W190">
        <f t="shared" si="143"/>
        <v>31.6669144293264</v>
      </c>
      <c r="X190">
        <f t="shared" si="100"/>
        <v>181.05328615311174</v>
      </c>
      <c r="Y190">
        <f t="shared" si="101"/>
        <v>688007.87037107244</v>
      </c>
      <c r="Z190">
        <f t="shared" si="102"/>
        <v>263.16301041693526</v>
      </c>
      <c r="AA190" s="29">
        <v>369325.75183085899</v>
      </c>
      <c r="AB190">
        <f t="shared" si="144"/>
        <v>2659145.413182185</v>
      </c>
      <c r="AC190">
        <f t="shared" si="103"/>
        <v>3798779.1616888358</v>
      </c>
      <c r="AD190">
        <f t="shared" si="104"/>
        <v>31.656493014073629</v>
      </c>
      <c r="AE190">
        <f t="shared" si="105"/>
        <v>181.06056148074106</v>
      </c>
      <c r="AF190">
        <f t="shared" si="106"/>
        <v>687809.08795671945</v>
      </c>
      <c r="AG190">
        <f t="shared" si="107"/>
        <v>263.08697614344527</v>
      </c>
      <c r="AH190" s="29">
        <v>303990.227746288</v>
      </c>
      <c r="AI190">
        <f t="shared" si="108"/>
        <v>2188729.6397732738</v>
      </c>
      <c r="AJ190">
        <f t="shared" si="109"/>
        <v>3126756.6282475339</v>
      </c>
      <c r="AK190">
        <f t="shared" si="110"/>
        <v>26.056305235396117</v>
      </c>
      <c r="AL190">
        <f t="shared" si="111"/>
        <v>184.97012653378007</v>
      </c>
      <c r="AM190">
        <f t="shared" si="112"/>
        <v>578356.56916728185</v>
      </c>
      <c r="AN190">
        <f t="shared" si="113"/>
        <v>221.22138770648536</v>
      </c>
      <c r="AO190" s="29">
        <v>0</v>
      </c>
      <c r="AP190">
        <f t="shared" si="114"/>
        <v>0</v>
      </c>
      <c r="AQ190">
        <f t="shared" si="115"/>
        <v>0</v>
      </c>
      <c r="AR190">
        <f t="shared" si="116"/>
        <v>0</v>
      </c>
      <c r="AS190">
        <f t="shared" si="117"/>
        <v>203.16037735849056</v>
      </c>
      <c r="AT190">
        <f t="shared" si="118"/>
        <v>0</v>
      </c>
      <c r="AU190">
        <f t="shared" si="119"/>
        <v>0</v>
      </c>
      <c r="AV190" s="29">
        <v>0</v>
      </c>
      <c r="AW190">
        <f t="shared" si="120"/>
        <v>0</v>
      </c>
      <c r="AX190">
        <f t="shared" si="121"/>
        <v>0</v>
      </c>
      <c r="AY190">
        <f t="shared" si="122"/>
        <v>0</v>
      </c>
      <c r="AZ190">
        <f t="shared" si="123"/>
        <v>203.16037735849056</v>
      </c>
      <c r="BA190">
        <f t="shared" si="124"/>
        <v>0</v>
      </c>
      <c r="BB190">
        <f t="shared" si="125"/>
        <v>0</v>
      </c>
      <c r="BC190" s="29">
        <v>11678.257326487301</v>
      </c>
      <c r="BD190">
        <f t="shared" si="126"/>
        <v>84083.452750708573</v>
      </c>
      <c r="BE190">
        <f t="shared" si="127"/>
        <v>120119.21821529797</v>
      </c>
      <c r="BF190">
        <f t="shared" si="128"/>
        <v>1.0009934851274831</v>
      </c>
      <c r="BG190">
        <f t="shared" si="129"/>
        <v>202.46157058585439</v>
      </c>
      <c r="BH190">
        <f t="shared" si="130"/>
        <v>24319.525577414195</v>
      </c>
      <c r="BI190">
        <f t="shared" si="131"/>
        <v>9.3022185333609322</v>
      </c>
      <c r="BJ190" s="29">
        <v>0</v>
      </c>
      <c r="BK190">
        <f t="shared" si="132"/>
        <v>0</v>
      </c>
      <c r="BL190">
        <f t="shared" si="133"/>
        <v>0</v>
      </c>
      <c r="BM190">
        <f t="shared" si="134"/>
        <v>0</v>
      </c>
      <c r="BN190">
        <f t="shared" si="135"/>
        <v>203.16037735849056</v>
      </c>
      <c r="BO190">
        <f t="shared" si="136"/>
        <v>0</v>
      </c>
      <c r="BP190">
        <f t="shared" si="137"/>
        <v>0</v>
      </c>
    </row>
    <row r="191" spans="1:68" x14ac:dyDescent="0.25">
      <c r="A191">
        <v>20</v>
      </c>
      <c r="B191">
        <v>140</v>
      </c>
      <c r="C191">
        <f t="shared" si="145"/>
        <v>2.5000000000000001E-3</v>
      </c>
      <c r="D191">
        <v>0.113</v>
      </c>
      <c r="E191">
        <f t="shared" si="87"/>
        <v>2.8250000000000004E-2</v>
      </c>
      <c r="F191" s="29">
        <v>499996.8</v>
      </c>
      <c r="G191">
        <f t="shared" si="88"/>
        <v>3599976.96</v>
      </c>
      <c r="H191">
        <f t="shared" si="89"/>
        <v>5142824.2285714289</v>
      </c>
      <c r="I191">
        <f t="shared" si="90"/>
        <v>42.856868571428571</v>
      </c>
      <c r="J191">
        <f t="shared" si="91"/>
        <v>173.24143137466308</v>
      </c>
      <c r="K191">
        <f t="shared" si="92"/>
        <v>890950.2306660118</v>
      </c>
      <c r="L191">
        <f t="shared" si="93"/>
        <v>251.69344016314838</v>
      </c>
      <c r="M191" s="7">
        <v>492558.334270388</v>
      </c>
      <c r="N191">
        <f t="shared" si="94"/>
        <v>3546420.0067467936</v>
      </c>
      <c r="O191">
        <f t="shared" si="95"/>
        <v>5066314.2953525623</v>
      </c>
      <c r="P191">
        <f t="shared" si="96"/>
        <v>42.219285794604687</v>
      </c>
      <c r="Q191">
        <f t="shared" si="97"/>
        <v>173.68653633206841</v>
      </c>
      <c r="R191">
        <f t="shared" si="98"/>
        <v>879950.58192943037</v>
      </c>
      <c r="S191">
        <f t="shared" si="99"/>
        <v>248.58603939506412</v>
      </c>
      <c r="T191" s="29">
        <v>488836.82985133299</v>
      </c>
      <c r="U191">
        <f t="shared" si="141"/>
        <v>3519625.1749295974</v>
      </c>
      <c r="V191">
        <f t="shared" si="142"/>
        <v>5028035.9641851392</v>
      </c>
      <c r="W191">
        <f t="shared" si="143"/>
        <v>41.900299701542828</v>
      </c>
      <c r="X191">
        <f t="shared" si="100"/>
        <v>173.90922473665879</v>
      </c>
      <c r="Y191">
        <f t="shared" si="101"/>
        <v>874421.83647947619</v>
      </c>
      <c r="Z191">
        <f t="shared" si="102"/>
        <v>247.02416880545206</v>
      </c>
      <c r="AA191" s="29">
        <v>488843.64930323599</v>
      </c>
      <c r="AB191">
        <f t="shared" si="144"/>
        <v>3519674.274983299</v>
      </c>
      <c r="AC191">
        <f t="shared" si="103"/>
        <v>5028106.1071189987</v>
      </c>
      <c r="AD191">
        <f t="shared" si="104"/>
        <v>41.900884225991653</v>
      </c>
      <c r="AE191">
        <f t="shared" si="105"/>
        <v>173.90881667242093</v>
      </c>
      <c r="AF191">
        <f t="shared" si="106"/>
        <v>874431.98319243803</v>
      </c>
      <c r="AG191">
        <f t="shared" si="107"/>
        <v>247.02703525186377</v>
      </c>
      <c r="AH191" s="29">
        <v>483267.07395485498</v>
      </c>
      <c r="AI191">
        <f t="shared" si="108"/>
        <v>3479522.9324749559</v>
      </c>
      <c r="AJ191">
        <f t="shared" si="109"/>
        <v>4970747.0463927938</v>
      </c>
      <c r="AK191">
        <f t="shared" si="110"/>
        <v>41.42289205327328</v>
      </c>
      <c r="AL191">
        <f t="shared" si="111"/>
        <v>174.24250932129979</v>
      </c>
      <c r="AM191">
        <f t="shared" si="112"/>
        <v>866115.43856491987</v>
      </c>
      <c r="AN191">
        <f t="shared" si="113"/>
        <v>244.67761139458989</v>
      </c>
      <c r="AO191" s="29">
        <v>0</v>
      </c>
      <c r="AP191">
        <f t="shared" si="114"/>
        <v>0</v>
      </c>
      <c r="AQ191">
        <f t="shared" si="115"/>
        <v>0</v>
      </c>
      <c r="AR191">
        <f t="shared" si="116"/>
        <v>0</v>
      </c>
      <c r="AS191">
        <f t="shared" si="117"/>
        <v>203.16037735849056</v>
      </c>
      <c r="AT191">
        <f t="shared" si="118"/>
        <v>0</v>
      </c>
      <c r="AU191">
        <f t="shared" si="119"/>
        <v>0</v>
      </c>
      <c r="AV191" s="29">
        <v>0</v>
      </c>
      <c r="AW191">
        <f t="shared" si="120"/>
        <v>0</v>
      </c>
      <c r="AX191">
        <f t="shared" si="121"/>
        <v>0</v>
      </c>
      <c r="AY191">
        <f t="shared" si="122"/>
        <v>0</v>
      </c>
      <c r="AZ191">
        <f t="shared" si="123"/>
        <v>203.16037735849056</v>
      </c>
      <c r="BA191">
        <f t="shared" si="124"/>
        <v>0</v>
      </c>
      <c r="BB191">
        <f t="shared" si="125"/>
        <v>0</v>
      </c>
      <c r="BC191" s="29">
        <v>188559.09620635401</v>
      </c>
      <c r="BD191">
        <f t="shared" si="126"/>
        <v>1357625.492685749</v>
      </c>
      <c r="BE191">
        <f t="shared" si="127"/>
        <v>1939464.9895510699</v>
      </c>
      <c r="BF191">
        <f t="shared" si="128"/>
        <v>16.162208246258917</v>
      </c>
      <c r="BG191">
        <f t="shared" si="129"/>
        <v>191.87732631864944</v>
      </c>
      <c r="BH191">
        <f t="shared" si="130"/>
        <v>372139.35668368667</v>
      </c>
      <c r="BI191">
        <f t="shared" si="131"/>
        <v>105.1293682631415</v>
      </c>
      <c r="BJ191" s="29">
        <v>31732.547831599401</v>
      </c>
      <c r="BK191">
        <f t="shared" si="132"/>
        <v>228474.34438751568</v>
      </c>
      <c r="BL191">
        <f t="shared" si="133"/>
        <v>326391.92055359384</v>
      </c>
      <c r="BM191">
        <f t="shared" si="134"/>
        <v>2.7199326712799485</v>
      </c>
      <c r="BN191">
        <f t="shared" si="135"/>
        <v>201.26155643703098</v>
      </c>
      <c r="BO191">
        <f t="shared" si="136"/>
        <v>65690.145939088048</v>
      </c>
      <c r="BP191">
        <f t="shared" si="137"/>
        <v>18.557466227792375</v>
      </c>
    </row>
    <row r="192" spans="1:68" x14ac:dyDescent="0.25">
      <c r="A192">
        <v>20</v>
      </c>
      <c r="B192">
        <v>160</v>
      </c>
      <c r="C192">
        <f t="shared" si="145"/>
        <v>2.5000000000000001E-3</v>
      </c>
      <c r="D192">
        <v>0.06</v>
      </c>
      <c r="E192">
        <f t="shared" si="87"/>
        <v>1.4999999999999999E-2</v>
      </c>
      <c r="F192" s="29">
        <v>499996.8</v>
      </c>
      <c r="G192">
        <f t="shared" si="88"/>
        <v>3599976.96</v>
      </c>
      <c r="H192">
        <f t="shared" si="89"/>
        <v>5142824.2285714289</v>
      </c>
      <c r="I192">
        <f t="shared" si="90"/>
        <v>42.856868571428571</v>
      </c>
      <c r="J192">
        <f t="shared" si="91"/>
        <v>173.24143137466308</v>
      </c>
      <c r="K192">
        <f t="shared" si="92"/>
        <v>890950.2306660118</v>
      </c>
      <c r="L192">
        <f t="shared" si="93"/>
        <v>133.64253459990175</v>
      </c>
      <c r="M192" s="7">
        <v>513533.46196962998</v>
      </c>
      <c r="N192">
        <f t="shared" si="94"/>
        <v>3697440.9261813359</v>
      </c>
      <c r="O192">
        <f t="shared" si="95"/>
        <v>5282058.4659733372</v>
      </c>
      <c r="P192">
        <f t="shared" si="96"/>
        <v>44.017153883111142</v>
      </c>
      <c r="Q192">
        <f t="shared" si="97"/>
        <v>172.43142087405448</v>
      </c>
      <c r="R192">
        <f t="shared" si="98"/>
        <v>910792.84642761108</v>
      </c>
      <c r="S192">
        <f t="shared" si="99"/>
        <v>136.61892696414165</v>
      </c>
      <c r="T192" s="29">
        <v>520318.82058767602</v>
      </c>
      <c r="U192">
        <f t="shared" si="141"/>
        <v>3746295.5082312673</v>
      </c>
      <c r="V192">
        <f t="shared" si="142"/>
        <v>5351850.7260446679</v>
      </c>
      <c r="W192">
        <f t="shared" si="143"/>
        <v>44.598756050372231</v>
      </c>
      <c r="X192">
        <f t="shared" si="100"/>
        <v>172.02539671955145</v>
      </c>
      <c r="Y192">
        <f t="shared" si="101"/>
        <v>920654.24433165346</v>
      </c>
      <c r="Z192">
        <f t="shared" si="102"/>
        <v>138.098136649748</v>
      </c>
      <c r="AA192" s="29">
        <v>520267.614980112</v>
      </c>
      <c r="AB192">
        <f t="shared" si="144"/>
        <v>3745926.8278568066</v>
      </c>
      <c r="AC192">
        <f t="shared" si="103"/>
        <v>5351324.0397954378</v>
      </c>
      <c r="AD192">
        <f t="shared" si="104"/>
        <v>44.594366998295314</v>
      </c>
      <c r="AE192">
        <f t="shared" si="105"/>
        <v>172.02846077477497</v>
      </c>
      <c r="AF192">
        <f t="shared" si="106"/>
        <v>920580.03767305985</v>
      </c>
      <c r="AG192">
        <f t="shared" si="107"/>
        <v>138.08700565095896</v>
      </c>
      <c r="AH192" s="29">
        <v>530403.02247016795</v>
      </c>
      <c r="AI192">
        <f t="shared" si="108"/>
        <v>3818901.7617852092</v>
      </c>
      <c r="AJ192">
        <f t="shared" si="109"/>
        <v>5455573.9454074418</v>
      </c>
      <c r="AK192">
        <f t="shared" si="110"/>
        <v>45.463116211728682</v>
      </c>
      <c r="AL192">
        <f t="shared" si="111"/>
        <v>171.42197547483093</v>
      </c>
      <c r="AM192">
        <f t="shared" si="112"/>
        <v>935205.26307076111</v>
      </c>
      <c r="AN192">
        <f t="shared" si="113"/>
        <v>140.28078946061416</v>
      </c>
      <c r="AO192" s="29">
        <v>35170.161613747703</v>
      </c>
      <c r="AP192">
        <f t="shared" si="114"/>
        <v>253225.16361898347</v>
      </c>
      <c r="AQ192">
        <f t="shared" si="115"/>
        <v>361750.23374140495</v>
      </c>
      <c r="AR192">
        <f t="shared" si="116"/>
        <v>3.0145852811783747</v>
      </c>
      <c r="AS192">
        <f t="shared" si="117"/>
        <v>201.05585555842265</v>
      </c>
      <c r="AT192">
        <f t="shared" si="118"/>
        <v>72732.002743337536</v>
      </c>
      <c r="AU192">
        <f t="shared" si="119"/>
        <v>10.90980041150063</v>
      </c>
      <c r="AV192" s="29">
        <v>0</v>
      </c>
      <c r="AW192">
        <f t="shared" si="120"/>
        <v>0</v>
      </c>
      <c r="AX192">
        <f t="shared" si="121"/>
        <v>0</v>
      </c>
      <c r="AY192">
        <f t="shared" si="122"/>
        <v>0</v>
      </c>
      <c r="AZ192">
        <f t="shared" si="123"/>
        <v>203.16037735849056</v>
      </c>
      <c r="BA192">
        <f t="shared" si="124"/>
        <v>0</v>
      </c>
      <c r="BB192">
        <f t="shared" si="125"/>
        <v>0</v>
      </c>
      <c r="BC192" s="29">
        <v>363397.07721304102</v>
      </c>
      <c r="BD192">
        <f t="shared" si="126"/>
        <v>2616458.9559338954</v>
      </c>
      <c r="BE192">
        <f t="shared" si="127"/>
        <v>3737798.5084769935</v>
      </c>
      <c r="BF192">
        <f t="shared" si="128"/>
        <v>31.148320903974945</v>
      </c>
      <c r="BG192">
        <f t="shared" si="129"/>
        <v>181.41532314250804</v>
      </c>
      <c r="BH192">
        <f t="shared" si="130"/>
        <v>678093.92425693839</v>
      </c>
      <c r="BI192">
        <f t="shared" si="131"/>
        <v>101.71408863854074</v>
      </c>
      <c r="BJ192" s="29">
        <v>294527.64392574498</v>
      </c>
      <c r="BK192">
        <f t="shared" si="132"/>
        <v>2120599.0362653639</v>
      </c>
      <c r="BL192">
        <f t="shared" si="133"/>
        <v>3029427.1946648057</v>
      </c>
      <c r="BM192">
        <f t="shared" si="134"/>
        <v>25.245226622206712</v>
      </c>
      <c r="BN192">
        <f t="shared" si="135"/>
        <v>185.53635122600664</v>
      </c>
      <c r="BO192">
        <f t="shared" si="136"/>
        <v>562068.86800294544</v>
      </c>
      <c r="BP192">
        <f t="shared" si="137"/>
        <v>84.310330200441811</v>
      </c>
    </row>
    <row r="193" spans="1:68" x14ac:dyDescent="0.25">
      <c r="A193">
        <v>20</v>
      </c>
      <c r="B193">
        <v>180</v>
      </c>
      <c r="C193">
        <f t="shared" si="145"/>
        <v>2.5000000000000001E-3</v>
      </c>
      <c r="D193">
        <v>0</v>
      </c>
      <c r="E193">
        <f t="shared" si="87"/>
        <v>0</v>
      </c>
      <c r="F193" s="29">
        <v>499996.8</v>
      </c>
      <c r="G193">
        <f t="shared" si="88"/>
        <v>3599976.96</v>
      </c>
      <c r="H193">
        <f t="shared" si="89"/>
        <v>5142824.2285714289</v>
      </c>
      <c r="I193">
        <f t="shared" si="90"/>
        <v>42.856868571428571</v>
      </c>
      <c r="J193">
        <f t="shared" si="91"/>
        <v>173.24143137466308</v>
      </c>
      <c r="K193">
        <f t="shared" si="92"/>
        <v>890950.2306660118</v>
      </c>
      <c r="L193">
        <f t="shared" si="93"/>
        <v>0</v>
      </c>
      <c r="M193" s="7">
        <v>461065.78905746702</v>
      </c>
      <c r="N193">
        <f t="shared" si="94"/>
        <v>3319673.6812137626</v>
      </c>
      <c r="O193">
        <f t="shared" si="95"/>
        <v>4742390.9731625179</v>
      </c>
      <c r="P193">
        <f t="shared" si="96"/>
        <v>39.519924776354316</v>
      </c>
      <c r="Q193">
        <f t="shared" si="97"/>
        <v>175.57099591084699</v>
      </c>
      <c r="R193">
        <f t="shared" si="98"/>
        <v>832626.30615675414</v>
      </c>
      <c r="S193">
        <f t="shared" si="99"/>
        <v>0</v>
      </c>
      <c r="T193" s="29">
        <v>441700.90319323301</v>
      </c>
      <c r="U193">
        <f t="shared" si="141"/>
        <v>3180246.5029912777</v>
      </c>
      <c r="V193">
        <f t="shared" si="142"/>
        <v>4543209.2899875389</v>
      </c>
      <c r="W193">
        <f t="shared" si="143"/>
        <v>37.860077416562824</v>
      </c>
      <c r="X193">
        <f t="shared" si="100"/>
        <v>176.72975727522973</v>
      </c>
      <c r="Y193">
        <f t="shared" si="101"/>
        <v>802920.27507006656</v>
      </c>
      <c r="Z193">
        <f t="shared" si="102"/>
        <v>0</v>
      </c>
      <c r="AA193" s="29">
        <v>441398.80857599998</v>
      </c>
      <c r="AB193">
        <f t="shared" si="144"/>
        <v>3178071.4217471997</v>
      </c>
      <c r="AC193">
        <f t="shared" si="103"/>
        <v>4540102.0310674282</v>
      </c>
      <c r="AD193">
        <f t="shared" si="104"/>
        <v>37.83418359222857</v>
      </c>
      <c r="AE193">
        <f t="shared" si="105"/>
        <v>176.74783409599138</v>
      </c>
      <c r="AF193">
        <f t="shared" si="106"/>
        <v>802453.20056597923</v>
      </c>
      <c r="AG193">
        <f t="shared" si="107"/>
        <v>0</v>
      </c>
      <c r="AH193" s="29">
        <v>412099.81286399998</v>
      </c>
      <c r="AI193">
        <f t="shared" si="108"/>
        <v>2967118.6526207998</v>
      </c>
      <c r="AJ193">
        <f t="shared" si="109"/>
        <v>4238740.9323154278</v>
      </c>
      <c r="AK193">
        <f t="shared" si="110"/>
        <v>35.322841102628566</v>
      </c>
      <c r="AL193">
        <f t="shared" si="111"/>
        <v>178.50103545665553</v>
      </c>
      <c r="AM193">
        <f t="shared" si="112"/>
        <v>756619.64545081335</v>
      </c>
      <c r="AN193">
        <f t="shared" si="113"/>
        <v>0</v>
      </c>
      <c r="AO193" s="29">
        <v>179491.39240575201</v>
      </c>
      <c r="AP193">
        <f t="shared" si="114"/>
        <v>1292338.0253214145</v>
      </c>
      <c r="AQ193">
        <f t="shared" si="115"/>
        <v>1846197.1790305921</v>
      </c>
      <c r="AR193">
        <f t="shared" si="116"/>
        <v>15.3849764919216</v>
      </c>
      <c r="AS193">
        <f t="shared" si="117"/>
        <v>192.41992207167738</v>
      </c>
      <c r="AT193">
        <f t="shared" si="118"/>
        <v>355245.11731801712</v>
      </c>
      <c r="AU193">
        <f t="shared" si="119"/>
        <v>0</v>
      </c>
      <c r="AV193" s="29">
        <v>0</v>
      </c>
      <c r="AW193">
        <f t="shared" si="120"/>
        <v>0</v>
      </c>
      <c r="AX193">
        <f t="shared" si="121"/>
        <v>0</v>
      </c>
      <c r="AY193">
        <f t="shared" si="122"/>
        <v>0</v>
      </c>
      <c r="AZ193">
        <f t="shared" si="123"/>
        <v>203.16037735849056</v>
      </c>
      <c r="BA193">
        <f t="shared" si="124"/>
        <v>0</v>
      </c>
      <c r="BB193">
        <f t="shared" si="125"/>
        <v>0</v>
      </c>
      <c r="BC193" s="29">
        <v>467631.13666557102</v>
      </c>
      <c r="BD193">
        <f t="shared" si="126"/>
        <v>3366944.1839921116</v>
      </c>
      <c r="BE193">
        <f t="shared" si="127"/>
        <v>4809920.2628458738</v>
      </c>
      <c r="BF193">
        <f t="shared" si="128"/>
        <v>40.082668857048951</v>
      </c>
      <c r="BG193">
        <f t="shared" si="129"/>
        <v>175.17813683564506</v>
      </c>
      <c r="BH193">
        <f t="shared" si="130"/>
        <v>842592.86997335637</v>
      </c>
      <c r="BI193">
        <f t="shared" si="131"/>
        <v>0</v>
      </c>
      <c r="BJ193" s="29">
        <v>451279.70292000199</v>
      </c>
      <c r="BK193">
        <f t="shared" si="132"/>
        <v>3249213.8610240142</v>
      </c>
      <c r="BL193">
        <f t="shared" si="133"/>
        <v>4641734.087177163</v>
      </c>
      <c r="BM193">
        <f t="shared" si="134"/>
        <v>38.681117393143026</v>
      </c>
      <c r="BN193">
        <f t="shared" si="135"/>
        <v>176.15657842365488</v>
      </c>
      <c r="BO193">
        <f t="shared" si="136"/>
        <v>817671.99474957597</v>
      </c>
      <c r="BP193">
        <f t="shared" si="137"/>
        <v>0</v>
      </c>
    </row>
    <row r="194" spans="1:68" x14ac:dyDescent="0.25">
      <c r="A194">
        <v>22</v>
      </c>
      <c r="B194">
        <v>0</v>
      </c>
      <c r="C194">
        <f>$AB$13</f>
        <v>8.0000000000000004E-4</v>
      </c>
      <c r="D194" cm="1">
        <f t="array" ref="D194:D203">$AD$2:$AD$11</f>
        <v>0</v>
      </c>
      <c r="E194">
        <f t="shared" si="87"/>
        <v>0</v>
      </c>
      <c r="F194" s="29">
        <v>499996.8</v>
      </c>
      <c r="G194">
        <f t="shared" si="88"/>
        <v>3599976.96</v>
      </c>
      <c r="H194">
        <f t="shared" si="89"/>
        <v>5142824.2285714289</v>
      </c>
      <c r="I194">
        <f t="shared" si="90"/>
        <v>42.856868571428571</v>
      </c>
      <c r="J194">
        <f t="shared" si="91"/>
        <v>173.24143137466308</v>
      </c>
      <c r="K194">
        <f t="shared" si="92"/>
        <v>890950.2306660118</v>
      </c>
      <c r="L194">
        <f t="shared" si="93"/>
        <v>0</v>
      </c>
      <c r="M194" s="7">
        <v>511540.99243814702</v>
      </c>
      <c r="N194">
        <f t="shared" si="94"/>
        <v>3683095.1455546585</v>
      </c>
      <c r="O194">
        <f t="shared" si="95"/>
        <v>5261564.4936495125</v>
      </c>
      <c r="P194">
        <f t="shared" si="96"/>
        <v>43.846370780412606</v>
      </c>
      <c r="Q194">
        <f t="shared" si="97"/>
        <v>172.55064681367423</v>
      </c>
      <c r="R194">
        <f t="shared" si="98"/>
        <v>907886.35663108574</v>
      </c>
      <c r="S194">
        <f t="shared" si="99"/>
        <v>0</v>
      </c>
      <c r="T194" s="29">
        <v>517296.865044359</v>
      </c>
      <c r="U194">
        <f t="shared" si="141"/>
        <v>3724537.4283193848</v>
      </c>
      <c r="V194">
        <f t="shared" si="142"/>
        <v>5320767.7547419788</v>
      </c>
      <c r="W194">
        <f t="shared" si="143"/>
        <v>44.339731289516486</v>
      </c>
      <c r="X194">
        <f t="shared" si="100"/>
        <v>172.2062253261866</v>
      </c>
      <c r="Y194">
        <f t="shared" si="101"/>
        <v>916269.33088140516</v>
      </c>
      <c r="Z194">
        <f t="shared" si="102"/>
        <v>0</v>
      </c>
      <c r="AA194" s="29">
        <v>517345.55654399999</v>
      </c>
      <c r="AB194">
        <f t="shared" si="144"/>
        <v>3724888.0071168002</v>
      </c>
      <c r="AC194">
        <f t="shared" si="103"/>
        <v>5321268.5815954283</v>
      </c>
      <c r="AD194">
        <f t="shared" si="104"/>
        <v>44.343904846628568</v>
      </c>
      <c r="AE194">
        <f t="shared" si="105"/>
        <v>172.20331171084422</v>
      </c>
      <c r="AF194">
        <f t="shared" si="106"/>
        <v>916340.07225359941</v>
      </c>
      <c r="AG194">
        <f t="shared" si="107"/>
        <v>0</v>
      </c>
      <c r="AH194" s="29">
        <v>526019.93481600005</v>
      </c>
      <c r="AI194">
        <f t="shared" si="108"/>
        <v>3787343.5306752003</v>
      </c>
      <c r="AJ194">
        <f t="shared" si="109"/>
        <v>5410490.7581074284</v>
      </c>
      <c r="AK194">
        <f t="shared" si="110"/>
        <v>45.087422984228574</v>
      </c>
      <c r="AL194">
        <f t="shared" si="111"/>
        <v>171.68425187893476</v>
      </c>
      <c r="AM194">
        <f t="shared" si="112"/>
        <v>928896.05810356443</v>
      </c>
      <c r="AN194">
        <f t="shared" si="113"/>
        <v>0</v>
      </c>
      <c r="AO194" s="29">
        <v>595004.36153978098</v>
      </c>
      <c r="AP194">
        <f t="shared" si="114"/>
        <v>4284031.4030864229</v>
      </c>
      <c r="AQ194">
        <f t="shared" si="115"/>
        <v>6120044.8615520326</v>
      </c>
      <c r="AR194">
        <f t="shared" si="116"/>
        <v>51.000373846266932</v>
      </c>
      <c r="AS194">
        <f t="shared" si="117"/>
        <v>167.55634278656836</v>
      </c>
      <c r="AT194">
        <f t="shared" si="118"/>
        <v>1025452.3346913888</v>
      </c>
      <c r="AU194">
        <f t="shared" si="119"/>
        <v>0</v>
      </c>
      <c r="AV194" s="29">
        <v>689731.56439351197</v>
      </c>
      <c r="AW194">
        <f t="shared" si="120"/>
        <v>4966067.2636332866</v>
      </c>
      <c r="AX194">
        <f t="shared" si="121"/>
        <v>7094381.8051904095</v>
      </c>
      <c r="AY194">
        <f t="shared" si="122"/>
        <v>59.119848376586745</v>
      </c>
      <c r="AZ194">
        <f t="shared" si="123"/>
        <v>161.88803037860924</v>
      </c>
      <c r="BA194">
        <f t="shared" si="124"/>
        <v>1148495.4971961176</v>
      </c>
      <c r="BB194">
        <f t="shared" si="125"/>
        <v>0</v>
      </c>
      <c r="BC194" s="29">
        <v>509594.26766458497</v>
      </c>
      <c r="BD194">
        <f t="shared" si="126"/>
        <v>3669078.7271850118</v>
      </c>
      <c r="BE194">
        <f t="shared" si="127"/>
        <v>5241541.0388357313</v>
      </c>
      <c r="BF194">
        <f t="shared" si="128"/>
        <v>43.67950865696443</v>
      </c>
      <c r="BG194">
        <f t="shared" si="129"/>
        <v>172.66713546589276</v>
      </c>
      <c r="BH194">
        <f t="shared" si="130"/>
        <v>905041.87660268543</v>
      </c>
      <c r="BI194">
        <f t="shared" si="131"/>
        <v>0</v>
      </c>
      <c r="BJ194" s="29">
        <v>514420.179304177</v>
      </c>
      <c r="BK194">
        <f t="shared" si="132"/>
        <v>3703825.2909900746</v>
      </c>
      <c r="BL194">
        <f t="shared" si="133"/>
        <v>5291178.9871286787</v>
      </c>
      <c r="BM194">
        <f t="shared" si="134"/>
        <v>44.093158226072319</v>
      </c>
      <c r="BN194">
        <f t="shared" si="135"/>
        <v>172.37836123840233</v>
      </c>
      <c r="BO194">
        <f t="shared" si="136"/>
        <v>912084.76282031124</v>
      </c>
      <c r="BP194">
        <f t="shared" si="137"/>
        <v>0</v>
      </c>
    </row>
    <row r="195" spans="1:68" x14ac:dyDescent="0.25">
      <c r="A195">
        <v>22</v>
      </c>
      <c r="B195">
        <v>20</v>
      </c>
      <c r="C195">
        <f t="shared" ref="C195:C203" si="146">$AB$13</f>
        <v>8.0000000000000004E-4</v>
      </c>
      <c r="D195">
        <v>0.06</v>
      </c>
      <c r="E195">
        <f t="shared" si="87"/>
        <v>4.8000000000000004E-3</v>
      </c>
      <c r="F195" s="29">
        <v>499996.8</v>
      </c>
      <c r="G195">
        <f t="shared" si="88"/>
        <v>3599976.96</v>
      </c>
      <c r="H195">
        <f t="shared" si="89"/>
        <v>5142824.2285714289</v>
      </c>
      <c r="I195">
        <f t="shared" si="90"/>
        <v>42.856868571428571</v>
      </c>
      <c r="J195">
        <f t="shared" si="91"/>
        <v>173.24143137466308</v>
      </c>
      <c r="K195">
        <f t="shared" si="92"/>
        <v>890950.2306660118</v>
      </c>
      <c r="L195">
        <f t="shared" si="93"/>
        <v>42.765611071968564</v>
      </c>
      <c r="M195" s="7">
        <v>547269.92936733295</v>
      </c>
      <c r="N195">
        <f t="shared" si="94"/>
        <v>3940343.4914447973</v>
      </c>
      <c r="O195">
        <f t="shared" si="95"/>
        <v>5629062.1306354254</v>
      </c>
      <c r="P195">
        <f t="shared" si="96"/>
        <v>46.908851088628552</v>
      </c>
      <c r="Q195">
        <f t="shared" si="97"/>
        <v>170.41268886265553</v>
      </c>
      <c r="R195">
        <f t="shared" si="98"/>
        <v>959263.61345653154</v>
      </c>
      <c r="S195">
        <f t="shared" si="99"/>
        <v>46.044653445913518</v>
      </c>
      <c r="T195" s="29">
        <v>570898.99804960703</v>
      </c>
      <c r="U195">
        <f t="shared" si="141"/>
        <v>4110472.7859571707</v>
      </c>
      <c r="V195">
        <f t="shared" si="142"/>
        <v>5872103.9799388153</v>
      </c>
      <c r="W195">
        <f t="shared" si="143"/>
        <v>48.934199832823467</v>
      </c>
      <c r="X195">
        <f t="shared" si="100"/>
        <v>168.99876615444398</v>
      </c>
      <c r="Y195">
        <f t="shared" si="101"/>
        <v>992378.32734025968</v>
      </c>
      <c r="Z195">
        <f t="shared" si="102"/>
        <v>47.634159712332469</v>
      </c>
      <c r="AA195" s="29">
        <v>570921.47434459697</v>
      </c>
      <c r="AB195">
        <f t="shared" si="144"/>
        <v>4110634.6152810981</v>
      </c>
      <c r="AC195">
        <f t="shared" si="103"/>
        <v>5872335.1646872824</v>
      </c>
      <c r="AD195">
        <f t="shared" si="104"/>
        <v>48.936126372394014</v>
      </c>
      <c r="AE195">
        <f t="shared" si="105"/>
        <v>168.99742121172494</v>
      </c>
      <c r="AF195">
        <f t="shared" si="106"/>
        <v>992409.49932308076</v>
      </c>
      <c r="AG195">
        <f t="shared" si="107"/>
        <v>47.63565596750788</v>
      </c>
      <c r="AH195" s="29">
        <v>606383.81151689601</v>
      </c>
      <c r="AI195">
        <f t="shared" si="108"/>
        <v>4365963.4429216515</v>
      </c>
      <c r="AJ195">
        <f t="shared" si="109"/>
        <v>6237090.6327452166</v>
      </c>
      <c r="AK195">
        <f t="shared" si="110"/>
        <v>51.97575527287681</v>
      </c>
      <c r="AL195">
        <f t="shared" si="111"/>
        <v>166.87541613025581</v>
      </c>
      <c r="AM195">
        <f t="shared" si="112"/>
        <v>1040817.0947814785</v>
      </c>
      <c r="AN195">
        <f t="shared" si="113"/>
        <v>49.959220549510967</v>
      </c>
      <c r="AO195" s="29">
        <v>487716.35809712502</v>
      </c>
      <c r="AP195">
        <f t="shared" si="114"/>
        <v>3511557.7782993</v>
      </c>
      <c r="AQ195">
        <f t="shared" si="115"/>
        <v>5016511.111856143</v>
      </c>
      <c r="AR195">
        <f t="shared" si="116"/>
        <v>41.804259265467856</v>
      </c>
      <c r="AS195">
        <f t="shared" si="117"/>
        <v>173.97627183354132</v>
      </c>
      <c r="AT195">
        <f t="shared" si="118"/>
        <v>872753.90085226484</v>
      </c>
      <c r="AU195">
        <f t="shared" si="119"/>
        <v>41.892187240908711</v>
      </c>
      <c r="AV195" s="29">
        <v>475071.052255205</v>
      </c>
      <c r="AW195">
        <f t="shared" si="120"/>
        <v>3420511.576237476</v>
      </c>
      <c r="AX195">
        <f t="shared" si="121"/>
        <v>4886445.1089106798</v>
      </c>
      <c r="AY195">
        <f t="shared" si="122"/>
        <v>40.720375907589002</v>
      </c>
      <c r="AZ195">
        <f t="shared" si="123"/>
        <v>174.7329451211171</v>
      </c>
      <c r="BA195">
        <f t="shared" si="124"/>
        <v>853822.94505264086</v>
      </c>
      <c r="BB195">
        <f t="shared" si="125"/>
        <v>40.983501362526759</v>
      </c>
      <c r="BC195" s="29">
        <v>477118.73098024703</v>
      </c>
      <c r="BD195">
        <f t="shared" si="126"/>
        <v>3435254.8630577787</v>
      </c>
      <c r="BE195">
        <f t="shared" si="127"/>
        <v>4907506.9472253975</v>
      </c>
      <c r="BF195">
        <f t="shared" si="128"/>
        <v>40.895891226878312</v>
      </c>
      <c r="BG195">
        <f t="shared" si="129"/>
        <v>174.61041555859438</v>
      </c>
      <c r="BH195">
        <f t="shared" si="130"/>
        <v>856901.82741171552</v>
      </c>
      <c r="BI195">
        <f t="shared" si="131"/>
        <v>41.131287715762348</v>
      </c>
      <c r="BJ195" s="29">
        <v>465714.83160413598</v>
      </c>
      <c r="BK195">
        <f t="shared" si="132"/>
        <v>3353146.7875497793</v>
      </c>
      <c r="BL195">
        <f t="shared" si="133"/>
        <v>4790209.6964996848</v>
      </c>
      <c r="BM195">
        <f t="shared" si="134"/>
        <v>39.918414137497372</v>
      </c>
      <c r="BN195">
        <f t="shared" si="135"/>
        <v>175.29280522476597</v>
      </c>
      <c r="BO195">
        <f t="shared" si="136"/>
        <v>839689.29531430465</v>
      </c>
      <c r="BP195">
        <f t="shared" si="137"/>
        <v>40.305086175086622</v>
      </c>
    </row>
    <row r="196" spans="1:68" x14ac:dyDescent="0.25">
      <c r="A196">
        <v>22</v>
      </c>
      <c r="B196">
        <v>40</v>
      </c>
      <c r="C196">
        <f t="shared" si="146"/>
        <v>8.0000000000000004E-4</v>
      </c>
      <c r="D196">
        <v>0.113</v>
      </c>
      <c r="E196">
        <f t="shared" si="87"/>
        <v>9.0399999999999994E-3</v>
      </c>
      <c r="F196" s="29">
        <v>499996.8</v>
      </c>
      <c r="G196">
        <f t="shared" si="88"/>
        <v>3599976.96</v>
      </c>
      <c r="H196">
        <f t="shared" si="89"/>
        <v>5142824.2285714289</v>
      </c>
      <c r="I196">
        <f t="shared" si="90"/>
        <v>42.856868571428571</v>
      </c>
      <c r="J196">
        <f t="shared" si="91"/>
        <v>173.24143137466308</v>
      </c>
      <c r="K196">
        <f t="shared" si="92"/>
        <v>890950.2306660118</v>
      </c>
      <c r="L196">
        <f t="shared" si="93"/>
        <v>80.541900852207462</v>
      </c>
      <c r="M196" s="7">
        <v>515442.66904544301</v>
      </c>
      <c r="N196">
        <f t="shared" si="94"/>
        <v>3711187.2171271895</v>
      </c>
      <c r="O196">
        <f t="shared" si="95"/>
        <v>5301696.0244674133</v>
      </c>
      <c r="P196">
        <f t="shared" si="96"/>
        <v>44.18080020389511</v>
      </c>
      <c r="Q196">
        <f t="shared" si="97"/>
        <v>172.31717721614871</v>
      </c>
      <c r="R196">
        <f t="shared" si="98"/>
        <v>913573.29339430237</v>
      </c>
      <c r="S196">
        <f t="shared" si="99"/>
        <v>82.587025722844928</v>
      </c>
      <c r="T196" s="29">
        <v>523166.43882693001</v>
      </c>
      <c r="U196">
        <f t="shared" si="141"/>
        <v>3766798.3595538964</v>
      </c>
      <c r="V196">
        <f t="shared" si="142"/>
        <v>5381140.5136484234</v>
      </c>
      <c r="W196">
        <f t="shared" si="143"/>
        <v>44.842837613736855</v>
      </c>
      <c r="X196">
        <f t="shared" si="100"/>
        <v>171.85500015644786</v>
      </c>
      <c r="Y196">
        <f t="shared" si="101"/>
        <v>924775.90381491766</v>
      </c>
      <c r="Z196">
        <f t="shared" si="102"/>
        <v>83.599741704868549</v>
      </c>
      <c r="AA196" s="29">
        <v>523163.93349421798</v>
      </c>
      <c r="AB196">
        <f t="shared" si="144"/>
        <v>3766780.3211583695</v>
      </c>
      <c r="AC196">
        <f t="shared" si="103"/>
        <v>5381114.7445119573</v>
      </c>
      <c r="AD196">
        <f t="shared" si="104"/>
        <v>44.842622870932978</v>
      </c>
      <c r="AE196">
        <f t="shared" si="105"/>
        <v>171.85515007123547</v>
      </c>
      <c r="AF196">
        <f t="shared" si="106"/>
        <v>924772.28196864028</v>
      </c>
      <c r="AG196">
        <f t="shared" si="107"/>
        <v>83.599414289965068</v>
      </c>
      <c r="AH196" s="29">
        <v>534747.50024132698</v>
      </c>
      <c r="AI196">
        <f t="shared" si="108"/>
        <v>3850182.0017375546</v>
      </c>
      <c r="AJ196">
        <f t="shared" si="109"/>
        <v>5500260.0024822205</v>
      </c>
      <c r="AK196">
        <f t="shared" si="110"/>
        <v>45.835500020685174</v>
      </c>
      <c r="AL196">
        <f t="shared" si="111"/>
        <v>171.16200941952167</v>
      </c>
      <c r="AM196">
        <f t="shared" si="112"/>
        <v>941435.55435468</v>
      </c>
      <c r="AN196">
        <f t="shared" si="113"/>
        <v>85.10577411366306</v>
      </c>
      <c r="AO196" s="29">
        <v>357929.50934318302</v>
      </c>
      <c r="AP196">
        <f t="shared" si="114"/>
        <v>2577092.4672709177</v>
      </c>
      <c r="AQ196">
        <f t="shared" si="115"/>
        <v>3681560.6675298824</v>
      </c>
      <c r="AR196">
        <f t="shared" si="116"/>
        <v>30.679672229415687</v>
      </c>
      <c r="AS196">
        <f t="shared" si="117"/>
        <v>181.74249297191736</v>
      </c>
      <c r="AT196">
        <f t="shared" si="118"/>
        <v>669096.01374423702</v>
      </c>
      <c r="AU196">
        <f t="shared" si="119"/>
        <v>60.486279642479019</v>
      </c>
      <c r="AV196" s="29">
        <v>215247.523412043</v>
      </c>
      <c r="AW196">
        <f t="shared" si="120"/>
        <v>1549782.1685667096</v>
      </c>
      <c r="AX196">
        <f t="shared" si="121"/>
        <v>2213974.5265238709</v>
      </c>
      <c r="AY196">
        <f t="shared" si="122"/>
        <v>18.449787721032259</v>
      </c>
      <c r="AZ196">
        <f t="shared" si="123"/>
        <v>190.28033687399633</v>
      </c>
      <c r="BA196">
        <f t="shared" si="124"/>
        <v>421275.81873740867</v>
      </c>
      <c r="BB196">
        <f t="shared" si="125"/>
        <v>38.083334013861737</v>
      </c>
      <c r="BC196" s="29">
        <v>377870.25025498401</v>
      </c>
      <c r="BD196">
        <f t="shared" si="126"/>
        <v>2720665.8018358848</v>
      </c>
      <c r="BE196">
        <f t="shared" si="127"/>
        <v>3886665.4311941215</v>
      </c>
      <c r="BF196">
        <f t="shared" si="128"/>
        <v>32.388878593284346</v>
      </c>
      <c r="BG196">
        <f t="shared" si="129"/>
        <v>180.54927343487697</v>
      </c>
      <c r="BH196">
        <f t="shared" si="130"/>
        <v>701734.61968655151</v>
      </c>
      <c r="BI196">
        <f t="shared" si="131"/>
        <v>63.436809619664245</v>
      </c>
      <c r="BJ196" s="29">
        <v>317038.25407126098</v>
      </c>
      <c r="BK196">
        <f t="shared" si="132"/>
        <v>2282675.429313079</v>
      </c>
      <c r="BL196">
        <f t="shared" si="133"/>
        <v>3260964.8990186844</v>
      </c>
      <c r="BM196">
        <f t="shared" si="134"/>
        <v>27.174707491822371</v>
      </c>
      <c r="BN196">
        <f t="shared" si="135"/>
        <v>184.18935514721835</v>
      </c>
      <c r="BO196">
        <f t="shared" si="136"/>
        <v>600635.02190796554</v>
      </c>
      <c r="BP196">
        <f t="shared" si="137"/>
        <v>54.297405980480079</v>
      </c>
    </row>
    <row r="197" spans="1:68" x14ac:dyDescent="0.25">
      <c r="A197">
        <v>22</v>
      </c>
      <c r="B197">
        <v>60</v>
      </c>
      <c r="C197">
        <f t="shared" si="146"/>
        <v>8.0000000000000004E-4</v>
      </c>
      <c r="D197">
        <v>0.153</v>
      </c>
      <c r="E197">
        <f t="shared" si="87"/>
        <v>1.2239999999999999E-2</v>
      </c>
      <c r="F197" s="29">
        <v>499996.8</v>
      </c>
      <c r="G197">
        <f t="shared" si="88"/>
        <v>3599976.96</v>
      </c>
      <c r="H197">
        <f t="shared" si="89"/>
        <v>5142824.2285714289</v>
      </c>
      <c r="I197">
        <f t="shared" si="90"/>
        <v>42.856868571428571</v>
      </c>
      <c r="J197">
        <f t="shared" si="91"/>
        <v>173.24143137466308</v>
      </c>
      <c r="K197">
        <f t="shared" si="92"/>
        <v>890950.2306660118</v>
      </c>
      <c r="L197">
        <f t="shared" si="93"/>
        <v>109.05230823351984</v>
      </c>
      <c r="M197" s="7">
        <v>423061.88689255598</v>
      </c>
      <c r="N197">
        <f t="shared" si="94"/>
        <v>3046045.5856264033</v>
      </c>
      <c r="O197">
        <f t="shared" si="95"/>
        <v>4351493.6937520048</v>
      </c>
      <c r="P197">
        <f t="shared" si="96"/>
        <v>36.262447447933368</v>
      </c>
      <c r="Q197">
        <f t="shared" si="97"/>
        <v>177.84508385710313</v>
      </c>
      <c r="R197">
        <f t="shared" si="98"/>
        <v>773891.76086898078</v>
      </c>
      <c r="S197">
        <f t="shared" si="99"/>
        <v>94.724351530363236</v>
      </c>
      <c r="T197" s="29">
        <v>384582.58763337601</v>
      </c>
      <c r="U197">
        <f t="shared" si="141"/>
        <v>2768994.6309603075</v>
      </c>
      <c r="V197">
        <f t="shared" si="142"/>
        <v>3955706.6156575824</v>
      </c>
      <c r="W197">
        <f t="shared" si="143"/>
        <v>32.964221797146521</v>
      </c>
      <c r="X197">
        <f t="shared" si="100"/>
        <v>180.14761874538829</v>
      </c>
      <c r="Y197">
        <f t="shared" si="101"/>
        <v>712611.12726609234</v>
      </c>
      <c r="Z197">
        <f t="shared" si="102"/>
        <v>87.223601977369697</v>
      </c>
      <c r="AA197" s="29">
        <v>384618.10840906203</v>
      </c>
      <c r="AB197">
        <f t="shared" si="144"/>
        <v>2769250.3805452469</v>
      </c>
      <c r="AC197">
        <f t="shared" si="103"/>
        <v>3956071.972207495</v>
      </c>
      <c r="AD197">
        <f t="shared" si="104"/>
        <v>32.967266435062456</v>
      </c>
      <c r="AE197">
        <f t="shared" si="105"/>
        <v>180.14549324344696</v>
      </c>
      <c r="AF197">
        <f t="shared" si="106"/>
        <v>712668.53673989524</v>
      </c>
      <c r="AG197">
        <f t="shared" si="107"/>
        <v>87.230628896963168</v>
      </c>
      <c r="AH197" s="29">
        <v>326928.76261359302</v>
      </c>
      <c r="AI197">
        <f t="shared" si="108"/>
        <v>2353887.0908178696</v>
      </c>
      <c r="AJ197">
        <f t="shared" si="109"/>
        <v>3362695.8440255281</v>
      </c>
      <c r="AK197">
        <f t="shared" si="110"/>
        <v>28.022465366879398</v>
      </c>
      <c r="AL197">
        <f t="shared" si="111"/>
        <v>183.59752417783892</v>
      </c>
      <c r="AM197">
        <f t="shared" si="112"/>
        <v>617382.63152619533</v>
      </c>
      <c r="AN197">
        <f t="shared" si="113"/>
        <v>75.567634098806309</v>
      </c>
      <c r="AO197" s="29">
        <v>205191.49689834501</v>
      </c>
      <c r="AP197">
        <f t="shared" si="114"/>
        <v>1477378.777668084</v>
      </c>
      <c r="AQ197">
        <f t="shared" si="115"/>
        <v>2110541.1109544057</v>
      </c>
      <c r="AR197">
        <f t="shared" si="116"/>
        <v>17.587842591286712</v>
      </c>
      <c r="AS197">
        <f t="shared" si="117"/>
        <v>190.88207215325266</v>
      </c>
      <c r="AT197">
        <f t="shared" si="118"/>
        <v>402864.46062360489</v>
      </c>
      <c r="AU197">
        <f t="shared" si="119"/>
        <v>49.310609980329232</v>
      </c>
      <c r="AV197" s="29">
        <v>0</v>
      </c>
      <c r="AW197">
        <f t="shared" si="120"/>
        <v>0</v>
      </c>
      <c r="AX197">
        <f t="shared" si="121"/>
        <v>0</v>
      </c>
      <c r="AY197">
        <f t="shared" si="122"/>
        <v>0</v>
      </c>
      <c r="AZ197">
        <f t="shared" si="123"/>
        <v>203.16037735849056</v>
      </c>
      <c r="BA197">
        <f t="shared" si="124"/>
        <v>0</v>
      </c>
      <c r="BB197">
        <f t="shared" si="125"/>
        <v>0</v>
      </c>
      <c r="BC197" s="29">
        <v>177726.74260238899</v>
      </c>
      <c r="BD197">
        <f t="shared" si="126"/>
        <v>1279632.5467372008</v>
      </c>
      <c r="BE197">
        <f t="shared" si="127"/>
        <v>1828046.4953388583</v>
      </c>
      <c r="BF197">
        <f t="shared" si="128"/>
        <v>15.233720794490486</v>
      </c>
      <c r="BG197">
        <f t="shared" si="129"/>
        <v>192.52551567177079</v>
      </c>
      <c r="BH197">
        <f t="shared" si="130"/>
        <v>351945.59418708703</v>
      </c>
      <c r="BI197">
        <f t="shared" si="131"/>
        <v>43.078140728499449</v>
      </c>
      <c r="BJ197" s="29">
        <v>17141.061429264999</v>
      </c>
      <c r="BK197">
        <f t="shared" si="132"/>
        <v>123415.642290708</v>
      </c>
      <c r="BL197">
        <f t="shared" si="133"/>
        <v>176308.06041529714</v>
      </c>
      <c r="BM197">
        <f t="shared" si="134"/>
        <v>1.4692338367941429</v>
      </c>
      <c r="BN197">
        <f t="shared" si="135"/>
        <v>202.13468581204938</v>
      </c>
      <c r="BO197">
        <f t="shared" si="136"/>
        <v>35637.97439817791</v>
      </c>
      <c r="BP197">
        <f t="shared" si="137"/>
        <v>4.3620880663369759</v>
      </c>
    </row>
    <row r="198" spans="1:68" x14ac:dyDescent="0.25">
      <c r="A198">
        <v>22</v>
      </c>
      <c r="B198">
        <v>80</v>
      </c>
      <c r="C198">
        <f t="shared" si="146"/>
        <v>8.0000000000000004E-4</v>
      </c>
      <c r="D198">
        <v>0.17399999999999999</v>
      </c>
      <c r="E198">
        <f t="shared" si="87"/>
        <v>1.392E-2</v>
      </c>
      <c r="F198" s="29">
        <v>499996.8</v>
      </c>
      <c r="G198">
        <f t="shared" si="88"/>
        <v>3599976.96</v>
      </c>
      <c r="H198">
        <f t="shared" si="89"/>
        <v>5142824.2285714289</v>
      </c>
      <c r="I198">
        <f t="shared" si="90"/>
        <v>42.856868571428571</v>
      </c>
      <c r="J198">
        <f t="shared" si="91"/>
        <v>173.24143137466308</v>
      </c>
      <c r="K198">
        <f t="shared" si="92"/>
        <v>890950.2306660118</v>
      </c>
      <c r="L198">
        <f t="shared" si="93"/>
        <v>124.02027210870884</v>
      </c>
      <c r="M198" s="7">
        <v>331526.526745187</v>
      </c>
      <c r="N198">
        <f t="shared" si="94"/>
        <v>2386990.9925653464</v>
      </c>
      <c r="O198">
        <f t="shared" si="95"/>
        <v>3409987.1322362092</v>
      </c>
      <c r="P198">
        <f t="shared" si="96"/>
        <v>28.416559435301746</v>
      </c>
      <c r="Q198">
        <f t="shared" si="97"/>
        <v>183.32240190365727</v>
      </c>
      <c r="R198">
        <f t="shared" si="98"/>
        <v>625127.03154210607</v>
      </c>
      <c r="S198">
        <f t="shared" si="99"/>
        <v>87.017682790661155</v>
      </c>
      <c r="T198" s="29">
        <v>247288.65852468001</v>
      </c>
      <c r="U198">
        <f t="shared" si="141"/>
        <v>1780478.341377696</v>
      </c>
      <c r="V198">
        <f t="shared" si="142"/>
        <v>2543540.4876824231</v>
      </c>
      <c r="W198">
        <f t="shared" si="143"/>
        <v>21.196170730686859</v>
      </c>
      <c r="X198">
        <f t="shared" si="100"/>
        <v>188.36305062197331</v>
      </c>
      <c r="Y198">
        <f t="shared" si="101"/>
        <v>479109.04564036295</v>
      </c>
      <c r="Z198">
        <f t="shared" si="102"/>
        <v>66.691979153138519</v>
      </c>
      <c r="AA198" s="29">
        <v>247296.85256710899</v>
      </c>
      <c r="AB198">
        <f t="shared" si="144"/>
        <v>1780537.3384831848</v>
      </c>
      <c r="AC198">
        <f t="shared" si="103"/>
        <v>2543624.7692616927</v>
      </c>
      <c r="AD198">
        <f t="shared" si="104"/>
        <v>21.196873077180772</v>
      </c>
      <c r="AE198">
        <f t="shared" si="105"/>
        <v>188.36256030460964</v>
      </c>
      <c r="AF198">
        <f t="shared" si="106"/>
        <v>479123.67399235436</v>
      </c>
      <c r="AG198">
        <f t="shared" si="107"/>
        <v>66.69401541973572</v>
      </c>
      <c r="AH198" s="29">
        <v>120946.878850664</v>
      </c>
      <c r="AI198">
        <f t="shared" si="108"/>
        <v>870817.52772478084</v>
      </c>
      <c r="AJ198">
        <f t="shared" si="109"/>
        <v>1244025.0396068299</v>
      </c>
      <c r="AK198">
        <f t="shared" si="110"/>
        <v>10.366875330056915</v>
      </c>
      <c r="AL198">
        <f t="shared" si="111"/>
        <v>195.9231247695829</v>
      </c>
      <c r="AM198">
        <f t="shared" si="112"/>
        <v>243733.27305137421</v>
      </c>
      <c r="AN198">
        <f t="shared" si="113"/>
        <v>33.92767160875129</v>
      </c>
      <c r="AO198" s="29">
        <v>48470.4600170634</v>
      </c>
      <c r="AP198">
        <f t="shared" si="114"/>
        <v>348987.3121228565</v>
      </c>
      <c r="AQ198">
        <f t="shared" si="115"/>
        <v>498553.30303265218</v>
      </c>
      <c r="AR198">
        <f t="shared" si="116"/>
        <v>4.1546108586054356</v>
      </c>
      <c r="AS198">
        <f t="shared" si="117"/>
        <v>200.25998864587922</v>
      </c>
      <c r="AT198">
        <f t="shared" si="118"/>
        <v>99840.278804684509</v>
      </c>
      <c r="AU198">
        <f t="shared" si="119"/>
        <v>13.897766809612083</v>
      </c>
      <c r="AV198" s="29">
        <v>0</v>
      </c>
      <c r="AW198">
        <f t="shared" si="120"/>
        <v>0</v>
      </c>
      <c r="AX198">
        <f t="shared" si="121"/>
        <v>0</v>
      </c>
      <c r="AY198">
        <f t="shared" si="122"/>
        <v>0</v>
      </c>
      <c r="AZ198">
        <f t="shared" si="123"/>
        <v>203.16037735849056</v>
      </c>
      <c r="BA198">
        <f t="shared" si="124"/>
        <v>0</v>
      </c>
      <c r="BB198">
        <f t="shared" si="125"/>
        <v>0</v>
      </c>
      <c r="BC198" s="29">
        <v>0</v>
      </c>
      <c r="BD198">
        <f t="shared" si="126"/>
        <v>0</v>
      </c>
      <c r="BE198">
        <f t="shared" si="127"/>
        <v>0</v>
      </c>
      <c r="BF198">
        <f t="shared" si="128"/>
        <v>0</v>
      </c>
      <c r="BG198">
        <f t="shared" si="129"/>
        <v>203.16037735849056</v>
      </c>
      <c r="BH198">
        <f t="shared" si="130"/>
        <v>0</v>
      </c>
      <c r="BI198">
        <f t="shared" si="131"/>
        <v>0</v>
      </c>
      <c r="BJ198" s="29">
        <v>0</v>
      </c>
      <c r="BK198">
        <f t="shared" si="132"/>
        <v>0</v>
      </c>
      <c r="BL198">
        <f t="shared" si="133"/>
        <v>0</v>
      </c>
      <c r="BM198">
        <f t="shared" si="134"/>
        <v>0</v>
      </c>
      <c r="BN198">
        <f t="shared" si="135"/>
        <v>203.16037735849056</v>
      </c>
      <c r="BO198">
        <f t="shared" si="136"/>
        <v>0</v>
      </c>
      <c r="BP198">
        <f t="shared" si="137"/>
        <v>0</v>
      </c>
    </row>
    <row r="199" spans="1:68" x14ac:dyDescent="0.25">
      <c r="A199">
        <v>22</v>
      </c>
      <c r="B199">
        <v>100</v>
      </c>
      <c r="C199">
        <f t="shared" si="146"/>
        <v>8.0000000000000004E-4</v>
      </c>
      <c r="D199">
        <v>0.17399999999999999</v>
      </c>
      <c r="E199">
        <f t="shared" si="87"/>
        <v>1.392E-2</v>
      </c>
      <c r="F199" s="29">
        <v>499996.8</v>
      </c>
      <c r="G199">
        <f t="shared" si="88"/>
        <v>3599976.96</v>
      </c>
      <c r="H199">
        <f t="shared" si="89"/>
        <v>5142824.2285714289</v>
      </c>
      <c r="I199">
        <f t="shared" si="90"/>
        <v>42.856868571428571</v>
      </c>
      <c r="J199">
        <f t="shared" si="91"/>
        <v>173.24143137466308</v>
      </c>
      <c r="K199">
        <f t="shared" si="92"/>
        <v>890950.2306660118</v>
      </c>
      <c r="L199">
        <f t="shared" si="93"/>
        <v>124.02027210870884</v>
      </c>
      <c r="M199" s="7">
        <v>314902.79278539203</v>
      </c>
      <c r="N199">
        <f t="shared" si="94"/>
        <v>2267300.1080548228</v>
      </c>
      <c r="O199">
        <f t="shared" si="95"/>
        <v>3239000.1543640322</v>
      </c>
      <c r="P199">
        <f t="shared" si="96"/>
        <v>26.991667953033602</v>
      </c>
      <c r="Q199">
        <f t="shared" si="97"/>
        <v>184.31713746675013</v>
      </c>
      <c r="R199">
        <f t="shared" si="98"/>
        <v>597003.23670674011</v>
      </c>
      <c r="S199">
        <f t="shared" si="99"/>
        <v>83.102850549578221</v>
      </c>
      <c r="T199" s="29">
        <v>222397.55935510001</v>
      </c>
      <c r="U199">
        <f t="shared" si="141"/>
        <v>1601262.42735672</v>
      </c>
      <c r="V199">
        <f t="shared" si="142"/>
        <v>2287517.7533667427</v>
      </c>
      <c r="W199">
        <f t="shared" si="143"/>
        <v>19.062647944722855</v>
      </c>
      <c r="X199">
        <f t="shared" si="100"/>
        <v>189.85249105745763</v>
      </c>
      <c r="Y199">
        <f t="shared" si="101"/>
        <v>434290.94381483505</v>
      </c>
      <c r="Z199">
        <f t="shared" si="102"/>
        <v>60.453299379025033</v>
      </c>
      <c r="AA199" s="29">
        <v>222272.232311778</v>
      </c>
      <c r="AB199">
        <f t="shared" si="144"/>
        <v>1600360.0726448016</v>
      </c>
      <c r="AC199">
        <f t="shared" si="103"/>
        <v>2286228.6752068591</v>
      </c>
      <c r="AD199">
        <f t="shared" si="104"/>
        <v>19.051905626723826</v>
      </c>
      <c r="AE199">
        <f t="shared" si="105"/>
        <v>189.85999041153241</v>
      </c>
      <c r="AF199">
        <f t="shared" si="106"/>
        <v>434063.35435334477</v>
      </c>
      <c r="AG199">
        <f t="shared" si="107"/>
        <v>60.421618925985591</v>
      </c>
      <c r="AH199" s="29">
        <v>83409.948467666894</v>
      </c>
      <c r="AI199">
        <f t="shared" si="108"/>
        <v>600551.62896720169</v>
      </c>
      <c r="AJ199">
        <f t="shared" si="109"/>
        <v>857930.89852457389</v>
      </c>
      <c r="AK199">
        <f t="shared" si="110"/>
        <v>7.1494241543714487</v>
      </c>
      <c r="AL199">
        <f t="shared" si="111"/>
        <v>198.1692699299671</v>
      </c>
      <c r="AM199">
        <f t="shared" si="112"/>
        <v>170015.53981097549</v>
      </c>
      <c r="AN199">
        <f t="shared" si="113"/>
        <v>23.666163141687786</v>
      </c>
      <c r="AO199" s="29">
        <v>0</v>
      </c>
      <c r="AP199">
        <f t="shared" si="114"/>
        <v>0</v>
      </c>
      <c r="AQ199">
        <f t="shared" si="115"/>
        <v>0</v>
      </c>
      <c r="AR199">
        <f t="shared" si="116"/>
        <v>0</v>
      </c>
      <c r="AS199">
        <f t="shared" si="117"/>
        <v>203.16037735849056</v>
      </c>
      <c r="AT199">
        <f t="shared" si="118"/>
        <v>0</v>
      </c>
      <c r="AU199">
        <f t="shared" si="119"/>
        <v>0</v>
      </c>
      <c r="AV199" s="29">
        <v>0</v>
      </c>
      <c r="AW199">
        <f t="shared" si="120"/>
        <v>0</v>
      </c>
      <c r="AX199">
        <f t="shared" si="121"/>
        <v>0</v>
      </c>
      <c r="AY199">
        <f t="shared" si="122"/>
        <v>0</v>
      </c>
      <c r="AZ199">
        <f t="shared" si="123"/>
        <v>203.16037735849056</v>
      </c>
      <c r="BA199">
        <f t="shared" si="124"/>
        <v>0</v>
      </c>
      <c r="BB199">
        <f t="shared" si="125"/>
        <v>0</v>
      </c>
      <c r="BC199" s="29">
        <v>0</v>
      </c>
      <c r="BD199">
        <f t="shared" si="126"/>
        <v>0</v>
      </c>
      <c r="BE199">
        <f t="shared" si="127"/>
        <v>0</v>
      </c>
      <c r="BF199">
        <f t="shared" si="128"/>
        <v>0</v>
      </c>
      <c r="BG199">
        <f t="shared" si="129"/>
        <v>203.16037735849056</v>
      </c>
      <c r="BH199">
        <f t="shared" si="130"/>
        <v>0</v>
      </c>
      <c r="BI199">
        <f t="shared" si="131"/>
        <v>0</v>
      </c>
      <c r="BJ199" s="29">
        <v>0</v>
      </c>
      <c r="BK199">
        <f t="shared" si="132"/>
        <v>0</v>
      </c>
      <c r="BL199">
        <f t="shared" si="133"/>
        <v>0</v>
      </c>
      <c r="BM199">
        <f t="shared" si="134"/>
        <v>0</v>
      </c>
      <c r="BN199">
        <f t="shared" si="135"/>
        <v>203.16037735849056</v>
      </c>
      <c r="BO199">
        <f t="shared" si="136"/>
        <v>0</v>
      </c>
      <c r="BP199">
        <f t="shared" si="137"/>
        <v>0</v>
      </c>
    </row>
    <row r="200" spans="1:68" x14ac:dyDescent="0.25">
      <c r="A200">
        <v>22</v>
      </c>
      <c r="B200">
        <v>120</v>
      </c>
      <c r="C200">
        <f t="shared" si="146"/>
        <v>8.0000000000000004E-4</v>
      </c>
      <c r="D200">
        <v>0.153</v>
      </c>
      <c r="E200">
        <f t="shared" si="87"/>
        <v>1.2239999999999999E-2</v>
      </c>
      <c r="F200" s="29">
        <v>499996.8</v>
      </c>
      <c r="G200">
        <f t="shared" si="88"/>
        <v>3599976.96</v>
      </c>
      <c r="H200">
        <f t="shared" si="89"/>
        <v>5142824.2285714289</v>
      </c>
      <c r="I200">
        <f t="shared" si="90"/>
        <v>42.856868571428571</v>
      </c>
      <c r="J200">
        <f t="shared" si="91"/>
        <v>173.24143137466308</v>
      </c>
      <c r="K200">
        <f t="shared" si="92"/>
        <v>890950.2306660118</v>
      </c>
      <c r="L200">
        <f t="shared" si="93"/>
        <v>109.05230823351984</v>
      </c>
      <c r="M200" s="7">
        <v>390461.65320869902</v>
      </c>
      <c r="N200">
        <f t="shared" si="94"/>
        <v>2811323.9031026331</v>
      </c>
      <c r="O200">
        <f t="shared" si="95"/>
        <v>4016177.0044323332</v>
      </c>
      <c r="P200">
        <f t="shared" si="96"/>
        <v>33.468141703602775</v>
      </c>
      <c r="Q200">
        <f t="shared" si="97"/>
        <v>179.79582560314523</v>
      </c>
      <c r="R200">
        <f t="shared" si="98"/>
        <v>722091.86028027802</v>
      </c>
      <c r="S200">
        <f t="shared" si="99"/>
        <v>88.38404369830603</v>
      </c>
      <c r="T200" s="29">
        <v>335748.134306953</v>
      </c>
      <c r="U200">
        <f t="shared" si="141"/>
        <v>2417386.5670100618</v>
      </c>
      <c r="V200">
        <f t="shared" si="142"/>
        <v>3453409.3814429455</v>
      </c>
      <c r="W200">
        <f t="shared" si="143"/>
        <v>28.778411512024547</v>
      </c>
      <c r="X200">
        <f t="shared" si="100"/>
        <v>183.06978818971871</v>
      </c>
      <c r="Y200">
        <f t="shared" si="101"/>
        <v>632214.92399314744</v>
      </c>
      <c r="Z200">
        <f t="shared" si="102"/>
        <v>77.383106696761246</v>
      </c>
      <c r="AA200" s="29">
        <v>335585.882990107</v>
      </c>
      <c r="AB200">
        <f t="shared" si="144"/>
        <v>2416218.3575287703</v>
      </c>
      <c r="AC200">
        <f t="shared" si="103"/>
        <v>3451740.5107553862</v>
      </c>
      <c r="AD200">
        <f t="shared" si="104"/>
        <v>28.764504256294884</v>
      </c>
      <c r="AE200">
        <f t="shared" si="105"/>
        <v>183.07949702862433</v>
      </c>
      <c r="AF200">
        <f t="shared" si="106"/>
        <v>631942.91658242303</v>
      </c>
      <c r="AG200">
        <f t="shared" si="107"/>
        <v>77.349812989688573</v>
      </c>
      <c r="AH200" s="29">
        <v>253380.42448516001</v>
      </c>
      <c r="AI200">
        <f t="shared" si="108"/>
        <v>1824339.056293152</v>
      </c>
      <c r="AJ200">
        <f t="shared" si="109"/>
        <v>2606198.6518473602</v>
      </c>
      <c r="AK200">
        <f t="shared" si="110"/>
        <v>21.718322098728002</v>
      </c>
      <c r="AL200">
        <f t="shared" si="111"/>
        <v>187.99852985560497</v>
      </c>
      <c r="AM200">
        <f t="shared" si="112"/>
        <v>489961.51505896338</v>
      </c>
      <c r="AN200">
        <f t="shared" si="113"/>
        <v>59.971289443217117</v>
      </c>
      <c r="AO200" s="29">
        <v>0</v>
      </c>
      <c r="AP200">
        <f t="shared" si="114"/>
        <v>0</v>
      </c>
      <c r="AQ200">
        <f t="shared" si="115"/>
        <v>0</v>
      </c>
      <c r="AR200">
        <f t="shared" si="116"/>
        <v>0</v>
      </c>
      <c r="AS200">
        <f t="shared" si="117"/>
        <v>203.16037735849056</v>
      </c>
      <c r="AT200">
        <f t="shared" si="118"/>
        <v>0</v>
      </c>
      <c r="AU200">
        <f t="shared" si="119"/>
        <v>0</v>
      </c>
      <c r="AV200" s="29">
        <v>0</v>
      </c>
      <c r="AW200">
        <f t="shared" si="120"/>
        <v>0</v>
      </c>
      <c r="AX200">
        <f t="shared" si="121"/>
        <v>0</v>
      </c>
      <c r="AY200">
        <f t="shared" si="122"/>
        <v>0</v>
      </c>
      <c r="AZ200">
        <f t="shared" si="123"/>
        <v>203.16037735849056</v>
      </c>
      <c r="BA200">
        <f t="shared" si="124"/>
        <v>0</v>
      </c>
      <c r="BB200">
        <f t="shared" si="125"/>
        <v>0</v>
      </c>
      <c r="BC200" s="29">
        <v>0</v>
      </c>
      <c r="BD200">
        <f t="shared" si="126"/>
        <v>0</v>
      </c>
      <c r="BE200">
        <f t="shared" si="127"/>
        <v>0</v>
      </c>
      <c r="BF200">
        <f t="shared" si="128"/>
        <v>0</v>
      </c>
      <c r="BG200">
        <f t="shared" si="129"/>
        <v>203.16037735849056</v>
      </c>
      <c r="BH200">
        <f t="shared" si="130"/>
        <v>0</v>
      </c>
      <c r="BI200">
        <f t="shared" si="131"/>
        <v>0</v>
      </c>
      <c r="BJ200" s="29">
        <v>0</v>
      </c>
      <c r="BK200">
        <f t="shared" si="132"/>
        <v>0</v>
      </c>
      <c r="BL200">
        <f t="shared" si="133"/>
        <v>0</v>
      </c>
      <c r="BM200">
        <f t="shared" si="134"/>
        <v>0</v>
      </c>
      <c r="BN200">
        <f t="shared" si="135"/>
        <v>203.16037735849056</v>
      </c>
      <c r="BO200">
        <f t="shared" si="136"/>
        <v>0</v>
      </c>
      <c r="BP200">
        <f t="shared" si="137"/>
        <v>0</v>
      </c>
    </row>
    <row r="201" spans="1:68" x14ac:dyDescent="0.25">
      <c r="A201">
        <v>22</v>
      </c>
      <c r="B201">
        <v>140</v>
      </c>
      <c r="C201">
        <f t="shared" si="146"/>
        <v>8.0000000000000004E-4</v>
      </c>
      <c r="D201">
        <v>0.113</v>
      </c>
      <c r="E201">
        <f t="shared" si="87"/>
        <v>9.0399999999999994E-3</v>
      </c>
      <c r="F201" s="29">
        <v>499996.8</v>
      </c>
      <c r="G201">
        <f t="shared" si="88"/>
        <v>3599976.96</v>
      </c>
      <c r="H201">
        <f t="shared" si="89"/>
        <v>5142824.2285714289</v>
      </c>
      <c r="I201">
        <f t="shared" si="90"/>
        <v>42.856868571428571</v>
      </c>
      <c r="J201">
        <f t="shared" si="91"/>
        <v>173.24143137466308</v>
      </c>
      <c r="K201">
        <f t="shared" si="92"/>
        <v>890950.2306660118</v>
      </c>
      <c r="L201">
        <f t="shared" si="93"/>
        <v>80.541900852207462</v>
      </c>
      <c r="M201" s="7">
        <v>487923.98976755899</v>
      </c>
      <c r="N201">
        <f t="shared" si="94"/>
        <v>3513052.7263264246</v>
      </c>
      <c r="O201">
        <f t="shared" si="95"/>
        <v>5018646.7518948922</v>
      </c>
      <c r="P201">
        <f t="shared" si="96"/>
        <v>41.822056265790771</v>
      </c>
      <c r="Q201">
        <f t="shared" si="97"/>
        <v>173.96384751256116</v>
      </c>
      <c r="R201">
        <f t="shared" si="98"/>
        <v>873063.09826605348</v>
      </c>
      <c r="S201">
        <f t="shared" si="99"/>
        <v>78.924904083251221</v>
      </c>
      <c r="T201" s="29">
        <v>481886.80739438301</v>
      </c>
      <c r="U201">
        <f t="shared" si="141"/>
        <v>3469585.0132395579</v>
      </c>
      <c r="V201">
        <f t="shared" si="142"/>
        <v>4956550.0189136537</v>
      </c>
      <c r="W201">
        <f t="shared" si="143"/>
        <v>41.30458349094711</v>
      </c>
      <c r="X201">
        <f t="shared" si="100"/>
        <v>174.3251020912256</v>
      </c>
      <c r="Y201">
        <f t="shared" si="101"/>
        <v>864051.08806738886</v>
      </c>
      <c r="Z201">
        <f t="shared" si="102"/>
        <v>78.110218361291942</v>
      </c>
      <c r="AA201" s="29">
        <v>481889.14097519201</v>
      </c>
      <c r="AB201">
        <f t="shared" si="144"/>
        <v>3469601.8150213826</v>
      </c>
      <c r="AC201">
        <f t="shared" si="103"/>
        <v>4956574.0214591175</v>
      </c>
      <c r="AD201">
        <f t="shared" si="104"/>
        <v>41.304783512159311</v>
      </c>
      <c r="AE201">
        <f t="shared" si="105"/>
        <v>174.32496245377558</v>
      </c>
      <c r="AF201">
        <f t="shared" si="106"/>
        <v>864054.58019022015</v>
      </c>
      <c r="AG201">
        <f t="shared" si="107"/>
        <v>78.110534049195891</v>
      </c>
      <c r="AH201" s="29">
        <v>472835.31146278803</v>
      </c>
      <c r="AI201">
        <f t="shared" si="108"/>
        <v>3404414.242532074</v>
      </c>
      <c r="AJ201">
        <f t="shared" si="109"/>
        <v>4863448.9179029623</v>
      </c>
      <c r="AK201">
        <f t="shared" si="110"/>
        <v>40.528740982524688</v>
      </c>
      <c r="AL201">
        <f t="shared" si="111"/>
        <v>174.86672799333184</v>
      </c>
      <c r="AM201">
        <f t="shared" si="112"/>
        <v>850455.39903640142</v>
      </c>
      <c r="AN201">
        <f t="shared" si="113"/>
        <v>76.881168072890674</v>
      </c>
      <c r="AO201" s="29">
        <v>0</v>
      </c>
      <c r="AP201">
        <f t="shared" si="114"/>
        <v>0</v>
      </c>
      <c r="AQ201">
        <f t="shared" si="115"/>
        <v>0</v>
      </c>
      <c r="AR201">
        <f t="shared" si="116"/>
        <v>0</v>
      </c>
      <c r="AS201">
        <f t="shared" si="117"/>
        <v>203.16037735849056</v>
      </c>
      <c r="AT201">
        <f t="shared" si="118"/>
        <v>0</v>
      </c>
      <c r="AU201">
        <f t="shared" si="119"/>
        <v>0</v>
      </c>
      <c r="AV201" s="29">
        <v>0</v>
      </c>
      <c r="AW201">
        <f t="shared" si="120"/>
        <v>0</v>
      </c>
      <c r="AX201">
        <f t="shared" si="121"/>
        <v>0</v>
      </c>
      <c r="AY201">
        <f t="shared" si="122"/>
        <v>0</v>
      </c>
      <c r="AZ201">
        <f t="shared" si="123"/>
        <v>203.16037735849056</v>
      </c>
      <c r="BA201">
        <f t="shared" si="124"/>
        <v>0</v>
      </c>
      <c r="BB201">
        <f t="shared" si="125"/>
        <v>0</v>
      </c>
      <c r="BC201" s="29">
        <v>126926.60671202801</v>
      </c>
      <c r="BD201">
        <f t="shared" si="126"/>
        <v>913871.56832660164</v>
      </c>
      <c r="BE201">
        <f t="shared" si="127"/>
        <v>1305530.8118951453</v>
      </c>
      <c r="BF201">
        <f t="shared" si="128"/>
        <v>10.879423432459545</v>
      </c>
      <c r="BG201">
        <f t="shared" si="129"/>
        <v>195.56530816979239</v>
      </c>
      <c r="BH201">
        <f t="shared" si="130"/>
        <v>255316.53555343335</v>
      </c>
      <c r="BI201">
        <f t="shared" si="131"/>
        <v>23.080614814030373</v>
      </c>
      <c r="BJ201" s="29">
        <v>0</v>
      </c>
      <c r="BK201">
        <f t="shared" si="132"/>
        <v>0</v>
      </c>
      <c r="BL201">
        <f t="shared" si="133"/>
        <v>0</v>
      </c>
      <c r="BM201">
        <f t="shared" si="134"/>
        <v>0</v>
      </c>
      <c r="BN201">
        <f t="shared" si="135"/>
        <v>203.16037735849056</v>
      </c>
      <c r="BO201">
        <f t="shared" si="136"/>
        <v>0</v>
      </c>
      <c r="BP201">
        <f t="shared" si="137"/>
        <v>0</v>
      </c>
    </row>
    <row r="202" spans="1:68" x14ac:dyDescent="0.25">
      <c r="A202">
        <v>22</v>
      </c>
      <c r="B202">
        <v>160</v>
      </c>
      <c r="C202">
        <f t="shared" si="146"/>
        <v>8.0000000000000004E-4</v>
      </c>
      <c r="D202">
        <v>0.06</v>
      </c>
      <c r="E202">
        <f t="shared" si="87"/>
        <v>4.8000000000000004E-3</v>
      </c>
      <c r="F202" s="29">
        <v>499996.8</v>
      </c>
      <c r="G202">
        <f t="shared" si="88"/>
        <v>3599976.96</v>
      </c>
      <c r="H202">
        <f t="shared" si="89"/>
        <v>5142824.2285714289</v>
      </c>
      <c r="I202">
        <f t="shared" si="90"/>
        <v>42.856868571428571</v>
      </c>
      <c r="J202">
        <f t="shared" si="91"/>
        <v>173.24143137466308</v>
      </c>
      <c r="K202">
        <f t="shared" si="92"/>
        <v>890950.2306660118</v>
      </c>
      <c r="L202">
        <f t="shared" si="93"/>
        <v>42.765611071968564</v>
      </c>
      <c r="M202" s="7">
        <v>516176.53378932801</v>
      </c>
      <c r="N202">
        <f t="shared" si="94"/>
        <v>3716471.0432831617</v>
      </c>
      <c r="O202">
        <f t="shared" si="95"/>
        <v>5309244.3475473737</v>
      </c>
      <c r="P202">
        <f t="shared" si="96"/>
        <v>44.243702896228115</v>
      </c>
      <c r="Q202">
        <f t="shared" si="97"/>
        <v>172.27326401584074</v>
      </c>
      <c r="R202">
        <f t="shared" si="98"/>
        <v>914640.85320963885</v>
      </c>
      <c r="S202">
        <f t="shared" si="99"/>
        <v>43.902760954062664</v>
      </c>
      <c r="T202" s="29">
        <v>524285.34337420098</v>
      </c>
      <c r="U202">
        <f t="shared" si="141"/>
        <v>3774854.4722942472</v>
      </c>
      <c r="V202">
        <f t="shared" si="142"/>
        <v>5392649.2461346388</v>
      </c>
      <c r="W202">
        <f t="shared" si="143"/>
        <v>44.938743717788654</v>
      </c>
      <c r="X202">
        <f t="shared" si="100"/>
        <v>171.78804683852491</v>
      </c>
      <c r="Y202">
        <f t="shared" si="101"/>
        <v>926392.6812787134</v>
      </c>
      <c r="Z202">
        <f t="shared" si="102"/>
        <v>44.466848701378247</v>
      </c>
      <c r="AA202" s="29">
        <v>524228.36099493498</v>
      </c>
      <c r="AB202">
        <f t="shared" si="144"/>
        <v>3774444.1991635319</v>
      </c>
      <c r="AC202">
        <f t="shared" si="103"/>
        <v>5392063.1416621879</v>
      </c>
      <c r="AD202">
        <f t="shared" si="104"/>
        <v>44.933859513851566</v>
      </c>
      <c r="AE202">
        <f t="shared" si="105"/>
        <v>171.79145656580175</v>
      </c>
      <c r="AF202">
        <f t="shared" si="106"/>
        <v>926310.38100092032</v>
      </c>
      <c r="AG202">
        <f t="shared" si="107"/>
        <v>44.46289828804418</v>
      </c>
      <c r="AH202" s="29">
        <v>536344.14149240195</v>
      </c>
      <c r="AI202">
        <f t="shared" si="108"/>
        <v>3861677.8187452941</v>
      </c>
      <c r="AJ202">
        <f t="shared" si="109"/>
        <v>5516682.5982075632</v>
      </c>
      <c r="AK202">
        <f t="shared" si="110"/>
        <v>45.972354985063028</v>
      </c>
      <c r="AL202">
        <f t="shared" si="111"/>
        <v>171.06646916137109</v>
      </c>
      <c r="AM202">
        <f t="shared" si="112"/>
        <v>943719.41355934669</v>
      </c>
      <c r="AN202">
        <f t="shared" si="113"/>
        <v>45.29853185084864</v>
      </c>
      <c r="AO202" s="29">
        <v>0</v>
      </c>
      <c r="AP202">
        <f t="shared" si="114"/>
        <v>0</v>
      </c>
      <c r="AQ202">
        <f t="shared" si="115"/>
        <v>0</v>
      </c>
      <c r="AR202">
        <f t="shared" si="116"/>
        <v>0</v>
      </c>
      <c r="AS202">
        <f t="shared" si="117"/>
        <v>203.16037735849056</v>
      </c>
      <c r="AT202">
        <f t="shared" si="118"/>
        <v>0</v>
      </c>
      <c r="AU202">
        <f t="shared" si="119"/>
        <v>0</v>
      </c>
      <c r="AV202" s="29">
        <v>0</v>
      </c>
      <c r="AW202">
        <f t="shared" si="120"/>
        <v>0</v>
      </c>
      <c r="AX202">
        <f t="shared" si="121"/>
        <v>0</v>
      </c>
      <c r="AY202">
        <f t="shared" si="122"/>
        <v>0</v>
      </c>
      <c r="AZ202">
        <f t="shared" si="123"/>
        <v>203.16037735849056</v>
      </c>
      <c r="BA202">
        <f t="shared" si="124"/>
        <v>0</v>
      </c>
      <c r="BB202">
        <f t="shared" si="125"/>
        <v>0</v>
      </c>
      <c r="BC202" s="29">
        <v>338145.33317320503</v>
      </c>
      <c r="BD202">
        <f t="shared" si="126"/>
        <v>2434646.3988470761</v>
      </c>
      <c r="BE202">
        <f t="shared" si="127"/>
        <v>3478066.2840672513</v>
      </c>
      <c r="BF202">
        <f t="shared" si="128"/>
        <v>28.983885700560425</v>
      </c>
      <c r="BG202">
        <f t="shared" si="129"/>
        <v>182.92634394489178</v>
      </c>
      <c r="BH202">
        <f t="shared" si="130"/>
        <v>636229.94934241776</v>
      </c>
      <c r="BI202">
        <f t="shared" si="131"/>
        <v>30.539037568436054</v>
      </c>
      <c r="BJ202" s="29">
        <v>256495.433797409</v>
      </c>
      <c r="BK202">
        <f t="shared" si="132"/>
        <v>1846767.1233413448</v>
      </c>
      <c r="BL202">
        <f t="shared" si="133"/>
        <v>2638238.7476304928</v>
      </c>
      <c r="BM202">
        <f t="shared" si="134"/>
        <v>21.985322896920774</v>
      </c>
      <c r="BN202">
        <f t="shared" si="135"/>
        <v>187.81213307196097</v>
      </c>
      <c r="BO202">
        <f t="shared" si="136"/>
        <v>495493.24674558174</v>
      </c>
      <c r="BP202">
        <f t="shared" si="137"/>
        <v>23.783675843787925</v>
      </c>
    </row>
    <row r="203" spans="1:68" x14ac:dyDescent="0.25">
      <c r="A203">
        <v>22</v>
      </c>
      <c r="B203">
        <v>180</v>
      </c>
      <c r="C203">
        <f t="shared" si="146"/>
        <v>8.0000000000000004E-4</v>
      </c>
      <c r="D203">
        <v>0</v>
      </c>
      <c r="E203">
        <f t="shared" si="87"/>
        <v>0</v>
      </c>
      <c r="F203" s="29">
        <v>499996.8</v>
      </c>
      <c r="G203">
        <f t="shared" si="88"/>
        <v>3599976.96</v>
      </c>
      <c r="H203">
        <f t="shared" si="89"/>
        <v>5142824.2285714289</v>
      </c>
      <c r="I203">
        <f t="shared" si="90"/>
        <v>42.856868571428571</v>
      </c>
      <c r="J203">
        <f t="shared" si="91"/>
        <v>173.24143137466308</v>
      </c>
      <c r="K203">
        <f t="shared" si="92"/>
        <v>890950.2306660118</v>
      </c>
      <c r="L203">
        <f t="shared" si="93"/>
        <v>0</v>
      </c>
      <c r="M203" s="7">
        <v>455141.52945892001</v>
      </c>
      <c r="N203">
        <f t="shared" si="94"/>
        <v>3277019.0121042239</v>
      </c>
      <c r="O203">
        <f t="shared" si="95"/>
        <v>4681455.7315774625</v>
      </c>
      <c r="P203">
        <f t="shared" si="96"/>
        <v>39.012131096478853</v>
      </c>
      <c r="Q203">
        <f t="shared" si="97"/>
        <v>175.92549338547701</v>
      </c>
      <c r="R203">
        <f t="shared" si="98"/>
        <v>823587.40934003436</v>
      </c>
      <c r="S203">
        <f t="shared" si="99"/>
        <v>0</v>
      </c>
      <c r="T203" s="29">
        <v>432838.36343612801</v>
      </c>
      <c r="U203">
        <f t="shared" si="141"/>
        <v>3116436.2167401216</v>
      </c>
      <c r="V203">
        <f t="shared" si="142"/>
        <v>4452051.7382001737</v>
      </c>
      <c r="W203">
        <f t="shared" si="143"/>
        <v>37.100431151668118</v>
      </c>
      <c r="X203">
        <f t="shared" si="100"/>
        <v>177.26007636581659</v>
      </c>
      <c r="Y203">
        <f t="shared" si="101"/>
        <v>789171.03109792923</v>
      </c>
      <c r="Z203">
        <f t="shared" si="102"/>
        <v>0</v>
      </c>
      <c r="AA203" s="29">
        <v>432464.64249599999</v>
      </c>
      <c r="AB203">
        <f t="shared" si="144"/>
        <v>3113745.4259711998</v>
      </c>
      <c r="AC203">
        <f t="shared" si="103"/>
        <v>4448207.7513874285</v>
      </c>
      <c r="AD203">
        <f t="shared" si="104"/>
        <v>37.06839792822857</v>
      </c>
      <c r="AE203">
        <f t="shared" si="105"/>
        <v>177.28243918218004</v>
      </c>
      <c r="AF203">
        <f t="shared" si="106"/>
        <v>788589.12015504355</v>
      </c>
      <c r="AG203">
        <f t="shared" si="107"/>
        <v>0</v>
      </c>
      <c r="AH203" s="29">
        <v>398698.56374399998</v>
      </c>
      <c r="AI203">
        <f t="shared" si="108"/>
        <v>2870629.6589568001</v>
      </c>
      <c r="AJ203">
        <f t="shared" si="109"/>
        <v>4100899.5127954287</v>
      </c>
      <c r="AK203">
        <f t="shared" si="110"/>
        <v>34.17416260662857</v>
      </c>
      <c r="AL203">
        <f t="shared" si="111"/>
        <v>179.30294308593855</v>
      </c>
      <c r="AM203">
        <f t="shared" si="112"/>
        <v>735303.35194391187</v>
      </c>
      <c r="AN203">
        <f t="shared" si="113"/>
        <v>0</v>
      </c>
      <c r="AO203" s="29">
        <v>130699.15726938601</v>
      </c>
      <c r="AP203">
        <f t="shared" si="114"/>
        <v>941033.93233957922</v>
      </c>
      <c r="AQ203">
        <f t="shared" si="115"/>
        <v>1344334.1890565418</v>
      </c>
      <c r="AR203">
        <f t="shared" si="116"/>
        <v>11.202784908804515</v>
      </c>
      <c r="AS203">
        <f t="shared" si="117"/>
        <v>195.33956525234402</v>
      </c>
      <c r="AT203">
        <f t="shared" si="118"/>
        <v>262601.65604416729</v>
      </c>
      <c r="AU203">
        <f t="shared" si="119"/>
        <v>0</v>
      </c>
      <c r="AV203" s="29">
        <v>0</v>
      </c>
      <c r="AW203">
        <f t="shared" si="120"/>
        <v>0</v>
      </c>
      <c r="AX203">
        <f t="shared" si="121"/>
        <v>0</v>
      </c>
      <c r="AY203">
        <f t="shared" si="122"/>
        <v>0</v>
      </c>
      <c r="AZ203">
        <f t="shared" si="123"/>
        <v>203.16037735849056</v>
      </c>
      <c r="BA203">
        <f t="shared" si="124"/>
        <v>0</v>
      </c>
      <c r="BB203">
        <f t="shared" si="125"/>
        <v>0</v>
      </c>
      <c r="BC203" s="29">
        <v>462706.00373716198</v>
      </c>
      <c r="BD203">
        <f t="shared" si="126"/>
        <v>3331483.2269075662</v>
      </c>
      <c r="BE203">
        <f t="shared" si="127"/>
        <v>4759261.7527250946</v>
      </c>
      <c r="BF203">
        <f t="shared" si="128"/>
        <v>39.660514606042454</v>
      </c>
      <c r="BG203">
        <f t="shared" si="129"/>
        <v>175.47284829389488</v>
      </c>
      <c r="BH203">
        <f t="shared" si="130"/>
        <v>835121.21552686684</v>
      </c>
      <c r="BI203">
        <f t="shared" si="131"/>
        <v>0</v>
      </c>
      <c r="BJ203" s="29">
        <v>443852.03132800403</v>
      </c>
      <c r="BK203">
        <f t="shared" si="132"/>
        <v>3195734.625561629</v>
      </c>
      <c r="BL203">
        <f t="shared" si="133"/>
        <v>4565335.1793737561</v>
      </c>
      <c r="BM203">
        <f t="shared" si="134"/>
        <v>38.044459828114633</v>
      </c>
      <c r="BN203">
        <f t="shared" si="135"/>
        <v>176.60103747848601</v>
      </c>
      <c r="BO203">
        <f t="shared" si="136"/>
        <v>806242.92911443533</v>
      </c>
      <c r="BP203">
        <f t="shared" si="137"/>
        <v>0</v>
      </c>
    </row>
    <row r="204" spans="1:68" x14ac:dyDescent="0.25">
      <c r="A204">
        <v>24</v>
      </c>
      <c r="B204">
        <v>0</v>
      </c>
      <c r="C204">
        <f>$AB$14</f>
        <v>2.9999999999999997E-4</v>
      </c>
      <c r="D204" cm="1">
        <f t="array" ref="D204:D213">$AD$2:$AD$11</f>
        <v>0</v>
      </c>
      <c r="E204">
        <f t="shared" si="87"/>
        <v>0</v>
      </c>
      <c r="F204" s="29">
        <v>499996.8</v>
      </c>
      <c r="G204">
        <f t="shared" si="88"/>
        <v>3599976.96</v>
      </c>
      <c r="H204">
        <f t="shared" si="89"/>
        <v>5142824.2285714289</v>
      </c>
      <c r="I204">
        <f t="shared" si="90"/>
        <v>42.856868571428571</v>
      </c>
      <c r="J204">
        <f t="shared" si="91"/>
        <v>173.24143137466308</v>
      </c>
      <c r="K204">
        <f t="shared" si="92"/>
        <v>890950.2306660118</v>
      </c>
      <c r="L204">
        <f t="shared" si="93"/>
        <v>0</v>
      </c>
      <c r="M204" s="7">
        <v>514868.09158804198</v>
      </c>
      <c r="N204">
        <f t="shared" si="94"/>
        <v>3707050.2594339023</v>
      </c>
      <c r="O204">
        <f t="shared" si="95"/>
        <v>5295786.084905575</v>
      </c>
      <c r="P204">
        <f t="shared" si="96"/>
        <v>44.131550707546459</v>
      </c>
      <c r="Q204">
        <f t="shared" si="97"/>
        <v>172.35155894001474</v>
      </c>
      <c r="R204">
        <f t="shared" si="98"/>
        <v>912736.9875463132</v>
      </c>
      <c r="S204">
        <f t="shared" si="99"/>
        <v>0</v>
      </c>
      <c r="T204" s="29">
        <v>522280.01119400898</v>
      </c>
      <c r="U204">
        <f t="shared" si="141"/>
        <v>3760416.0805968647</v>
      </c>
      <c r="V204">
        <f t="shared" si="142"/>
        <v>5372022.9722812353</v>
      </c>
      <c r="W204">
        <f t="shared" si="143"/>
        <v>44.766858102343626</v>
      </c>
      <c r="X204">
        <f t="shared" si="100"/>
        <v>171.90804245685445</v>
      </c>
      <c r="Y204">
        <f t="shared" si="101"/>
        <v>923493.95319812</v>
      </c>
      <c r="Z204">
        <f t="shared" si="102"/>
        <v>0</v>
      </c>
      <c r="AA204" s="29">
        <v>522351.22406400001</v>
      </c>
      <c r="AB204">
        <f t="shared" si="144"/>
        <v>3760928.8132608002</v>
      </c>
      <c r="AC204">
        <f t="shared" si="103"/>
        <v>5372755.447515429</v>
      </c>
      <c r="AD204">
        <f t="shared" si="104"/>
        <v>44.772962062628579</v>
      </c>
      <c r="AE204">
        <f t="shared" si="105"/>
        <v>171.90378120156117</v>
      </c>
      <c r="AF204">
        <f t="shared" si="106"/>
        <v>923596.97689918813</v>
      </c>
      <c r="AG204">
        <f t="shared" si="107"/>
        <v>0</v>
      </c>
      <c r="AH204" s="29">
        <v>533528.43609600002</v>
      </c>
      <c r="AI204">
        <f t="shared" si="108"/>
        <v>3841404.7398912003</v>
      </c>
      <c r="AJ204">
        <f t="shared" si="109"/>
        <v>5487721.056987429</v>
      </c>
      <c r="AK204">
        <f t="shared" si="110"/>
        <v>45.731008808228573</v>
      </c>
      <c r="AL204">
        <f t="shared" si="111"/>
        <v>171.23495611501025</v>
      </c>
      <c r="AM204">
        <f t="shared" si="112"/>
        <v>939689.67436466005</v>
      </c>
      <c r="AN204">
        <f t="shared" si="113"/>
        <v>0</v>
      </c>
      <c r="AO204" s="29">
        <v>622392.65686845698</v>
      </c>
      <c r="AP204">
        <f t="shared" si="114"/>
        <v>4481227.1294528907</v>
      </c>
      <c r="AQ204">
        <f t="shared" si="115"/>
        <v>6401753.0420755586</v>
      </c>
      <c r="AR204">
        <f t="shared" si="116"/>
        <v>53.347942017296326</v>
      </c>
      <c r="AS204">
        <f t="shared" si="117"/>
        <v>165.9174744407554</v>
      </c>
      <c r="AT204">
        <f t="shared" si="118"/>
        <v>1062162.6967345995</v>
      </c>
      <c r="AU204">
        <f t="shared" si="119"/>
        <v>0</v>
      </c>
      <c r="AV204" s="29">
        <v>744378.41483974596</v>
      </c>
      <c r="AW204">
        <f t="shared" si="120"/>
        <v>5359524.5868461709</v>
      </c>
      <c r="AX204">
        <f t="shared" si="121"/>
        <v>7656463.6954945298</v>
      </c>
      <c r="AY204">
        <f t="shared" si="122"/>
        <v>63.803864129121088</v>
      </c>
      <c r="AZ204">
        <f t="shared" si="123"/>
        <v>158.61805711740604</v>
      </c>
      <c r="BA204">
        <f t="shared" si="124"/>
        <v>1214453.3957692971</v>
      </c>
      <c r="BB204">
        <f t="shared" si="125"/>
        <v>0</v>
      </c>
      <c r="BC204" s="29">
        <v>512360.28982685402</v>
      </c>
      <c r="BD204">
        <f t="shared" si="126"/>
        <v>3688994.0867533488</v>
      </c>
      <c r="BE204">
        <f t="shared" si="127"/>
        <v>5269991.5525047835</v>
      </c>
      <c r="BF204">
        <f t="shared" si="128"/>
        <v>43.916596270873193</v>
      </c>
      <c r="BG204">
        <f t="shared" si="129"/>
        <v>172.50162147127719</v>
      </c>
      <c r="BH204">
        <f t="shared" si="130"/>
        <v>909082.08794700867</v>
      </c>
      <c r="BI204">
        <f t="shared" si="131"/>
        <v>0</v>
      </c>
      <c r="BJ204" s="29">
        <v>518581.78253657301</v>
      </c>
      <c r="BK204">
        <f t="shared" si="132"/>
        <v>3733788.8342633257</v>
      </c>
      <c r="BL204">
        <f t="shared" si="133"/>
        <v>5333984.0489476081</v>
      </c>
      <c r="BM204">
        <f t="shared" si="134"/>
        <v>44.4498670745634</v>
      </c>
      <c r="BN204">
        <f t="shared" si="135"/>
        <v>172.12933808002177</v>
      </c>
      <c r="BO204">
        <f t="shared" si="136"/>
        <v>918135.14367474616</v>
      </c>
      <c r="BP204">
        <f t="shared" si="137"/>
        <v>0</v>
      </c>
    </row>
    <row r="205" spans="1:68" x14ac:dyDescent="0.25">
      <c r="A205">
        <v>24</v>
      </c>
      <c r="B205">
        <v>20</v>
      </c>
      <c r="C205">
        <f t="shared" ref="C205:C213" si="147">$AB$14</f>
        <v>2.9999999999999997E-4</v>
      </c>
      <c r="D205">
        <v>0.06</v>
      </c>
      <c r="E205">
        <f t="shared" si="87"/>
        <v>1.7999999999999997E-3</v>
      </c>
      <c r="F205" s="29">
        <v>499996.8</v>
      </c>
      <c r="G205">
        <f t="shared" si="88"/>
        <v>3599976.96</v>
      </c>
      <c r="H205">
        <f t="shared" si="89"/>
        <v>5142824.2285714289</v>
      </c>
      <c r="I205">
        <f t="shared" si="90"/>
        <v>42.856868571428571</v>
      </c>
      <c r="J205">
        <f t="shared" si="91"/>
        <v>173.24143137466308</v>
      </c>
      <c r="K205">
        <f t="shared" si="92"/>
        <v>890950.2306660118</v>
      </c>
      <c r="L205">
        <f t="shared" si="93"/>
        <v>16.03710415198821</v>
      </c>
      <c r="M205" s="7">
        <v>560041.26637904998</v>
      </c>
      <c r="N205">
        <f t="shared" si="94"/>
        <v>4032297.1179291601</v>
      </c>
      <c r="O205">
        <f t="shared" si="95"/>
        <v>5760424.4541845145</v>
      </c>
      <c r="P205">
        <f t="shared" si="96"/>
        <v>48.003537118204285</v>
      </c>
      <c r="Q205">
        <f t="shared" si="97"/>
        <v>169.64847408729133</v>
      </c>
      <c r="R205">
        <f t="shared" si="98"/>
        <v>977247.21874752094</v>
      </c>
      <c r="S205">
        <f t="shared" si="99"/>
        <v>17.590449937455375</v>
      </c>
      <c r="T205" s="29">
        <v>590051.40640351304</v>
      </c>
      <c r="U205">
        <f t="shared" si="141"/>
        <v>4248370.1261052936</v>
      </c>
      <c r="V205">
        <f t="shared" si="142"/>
        <v>6069100.1801504195</v>
      </c>
      <c r="W205">
        <f t="shared" si="143"/>
        <v>50.575834834586828</v>
      </c>
      <c r="X205">
        <f t="shared" si="100"/>
        <v>167.85271907774126</v>
      </c>
      <c r="Y205">
        <f t="shared" si="101"/>
        <v>1018714.9675934572</v>
      </c>
      <c r="Z205">
        <f t="shared" si="102"/>
        <v>18.336869416682227</v>
      </c>
      <c r="AA205" s="29">
        <v>590087.66587149503</v>
      </c>
      <c r="AB205">
        <f t="shared" si="144"/>
        <v>4248631.1942747645</v>
      </c>
      <c r="AC205">
        <f t="shared" si="103"/>
        <v>6069473.1346782353</v>
      </c>
      <c r="AD205">
        <f t="shared" si="104"/>
        <v>50.578942788985294</v>
      </c>
      <c r="AE205">
        <f t="shared" si="105"/>
        <v>167.85054937372723</v>
      </c>
      <c r="AF205">
        <f t="shared" si="106"/>
        <v>1018764.4000648202</v>
      </c>
      <c r="AG205">
        <f t="shared" si="107"/>
        <v>18.337759201166762</v>
      </c>
      <c r="AH205" s="29">
        <v>635133.09880724305</v>
      </c>
      <c r="AI205">
        <f t="shared" si="108"/>
        <v>4572958.31141215</v>
      </c>
      <c r="AJ205">
        <f t="shared" si="109"/>
        <v>6532797.5877316436</v>
      </c>
      <c r="AK205">
        <f t="shared" si="110"/>
        <v>54.439979897763699</v>
      </c>
      <c r="AL205">
        <f t="shared" si="111"/>
        <v>165.15510837325931</v>
      </c>
      <c r="AM205">
        <f t="shared" si="112"/>
        <v>1078924.8935823864</v>
      </c>
      <c r="AN205">
        <f t="shared" si="113"/>
        <v>19.420648084482952</v>
      </c>
      <c r="AO205" s="29">
        <v>489798.42775835202</v>
      </c>
      <c r="AP205">
        <f t="shared" si="114"/>
        <v>3526548.6798601346</v>
      </c>
      <c r="AQ205">
        <f t="shared" si="115"/>
        <v>5037926.685514478</v>
      </c>
      <c r="AR205">
        <f t="shared" si="116"/>
        <v>41.982722379287317</v>
      </c>
      <c r="AS205">
        <f t="shared" si="117"/>
        <v>173.85168437672394</v>
      </c>
      <c r="AT205">
        <f t="shared" si="118"/>
        <v>875852.04004313808</v>
      </c>
      <c r="AU205">
        <f t="shared" si="119"/>
        <v>15.765336720776483</v>
      </c>
      <c r="AV205" s="29">
        <v>479080.98539184697</v>
      </c>
      <c r="AW205">
        <f t="shared" si="120"/>
        <v>3449383.0948212985</v>
      </c>
      <c r="AX205">
        <f t="shared" si="121"/>
        <v>4927690.1354589984</v>
      </c>
      <c r="AY205">
        <f t="shared" si="122"/>
        <v>41.06408446215832</v>
      </c>
      <c r="AZ205">
        <f t="shared" si="123"/>
        <v>174.49299763962532</v>
      </c>
      <c r="BA205">
        <f t="shared" si="124"/>
        <v>859847.42317545204</v>
      </c>
      <c r="BB205">
        <f t="shared" si="125"/>
        <v>15.477253617158134</v>
      </c>
      <c r="BC205" s="29">
        <v>473037.28814872401</v>
      </c>
      <c r="BD205">
        <f t="shared" si="126"/>
        <v>3405868.474670813</v>
      </c>
      <c r="BE205">
        <f t="shared" si="127"/>
        <v>4865526.392386876</v>
      </c>
      <c r="BF205">
        <f t="shared" si="128"/>
        <v>40.546053269890635</v>
      </c>
      <c r="BG205">
        <f t="shared" si="129"/>
        <v>174.85464205686881</v>
      </c>
      <c r="BH205">
        <f t="shared" si="130"/>
        <v>850759.87575905549</v>
      </c>
      <c r="BI205">
        <f t="shared" si="131"/>
        <v>15.313677763662996</v>
      </c>
      <c r="BJ205" s="29">
        <v>459604.22649867099</v>
      </c>
      <c r="BK205">
        <f t="shared" si="132"/>
        <v>3309150.4307904313</v>
      </c>
      <c r="BL205">
        <f t="shared" si="133"/>
        <v>4727357.7582720453</v>
      </c>
      <c r="BM205">
        <f t="shared" si="134"/>
        <v>39.394647985600379</v>
      </c>
      <c r="BN205">
        <f t="shared" si="135"/>
        <v>175.65845329307143</v>
      </c>
      <c r="BO205">
        <f t="shared" si="136"/>
        <v>830400.35198106896</v>
      </c>
      <c r="BP205">
        <f t="shared" si="137"/>
        <v>14.947206335659239</v>
      </c>
    </row>
    <row r="206" spans="1:68" x14ac:dyDescent="0.25">
      <c r="A206">
        <v>24</v>
      </c>
      <c r="B206">
        <v>40</v>
      </c>
      <c r="C206">
        <f t="shared" si="147"/>
        <v>2.9999999999999997E-4</v>
      </c>
      <c r="D206">
        <v>0.113</v>
      </c>
      <c r="E206">
        <f t="shared" si="87"/>
        <v>3.3899999999999998E-3</v>
      </c>
      <c r="F206" s="29">
        <v>499996.8</v>
      </c>
      <c r="G206">
        <f t="shared" si="88"/>
        <v>3599976.96</v>
      </c>
      <c r="H206">
        <f t="shared" si="89"/>
        <v>5142824.2285714289</v>
      </c>
      <c r="I206">
        <f t="shared" si="90"/>
        <v>42.856868571428571</v>
      </c>
      <c r="J206">
        <f t="shared" si="91"/>
        <v>173.24143137466308</v>
      </c>
      <c r="K206">
        <f t="shared" si="92"/>
        <v>890950.2306660118</v>
      </c>
      <c r="L206">
        <f t="shared" si="93"/>
        <v>30.203212819577796</v>
      </c>
      <c r="M206" s="7">
        <v>524953.81815643702</v>
      </c>
      <c r="N206">
        <f t="shared" si="94"/>
        <v>3779667.4907263466</v>
      </c>
      <c r="O206">
        <f t="shared" si="95"/>
        <v>5399524.9867519233</v>
      </c>
      <c r="P206">
        <f t="shared" si="96"/>
        <v>44.996041556266029</v>
      </c>
      <c r="Q206">
        <f t="shared" si="97"/>
        <v>171.74804646071993</v>
      </c>
      <c r="R206">
        <f t="shared" si="98"/>
        <v>927357.86829048756</v>
      </c>
      <c r="S206">
        <f t="shared" si="99"/>
        <v>31.437431735047525</v>
      </c>
      <c r="T206" s="29">
        <v>537434.11713951104</v>
      </c>
      <c r="U206">
        <f t="shared" si="141"/>
        <v>3869525.6434044796</v>
      </c>
      <c r="V206">
        <f t="shared" si="142"/>
        <v>5527893.7762921136</v>
      </c>
      <c r="W206">
        <f t="shared" si="143"/>
        <v>46.065781469100941</v>
      </c>
      <c r="X206">
        <f t="shared" si="100"/>
        <v>171.00124689892954</v>
      </c>
      <c r="Y206">
        <f t="shared" si="101"/>
        <v>945276.72847078368</v>
      </c>
      <c r="Z206">
        <f t="shared" si="102"/>
        <v>32.044881095159568</v>
      </c>
      <c r="AA206" s="29">
        <v>537428.74836868502</v>
      </c>
      <c r="AB206">
        <f t="shared" si="144"/>
        <v>3869486.9882545322</v>
      </c>
      <c r="AC206">
        <f t="shared" si="103"/>
        <v>5527838.5546493316</v>
      </c>
      <c r="AD206">
        <f t="shared" si="104"/>
        <v>46.065321288744428</v>
      </c>
      <c r="AE206">
        <f t="shared" si="105"/>
        <v>171.00156815691426</v>
      </c>
      <c r="AF206">
        <f t="shared" si="106"/>
        <v>945269.06136328611</v>
      </c>
      <c r="AG206">
        <f t="shared" si="107"/>
        <v>32.044621180215394</v>
      </c>
      <c r="AH206" s="29">
        <v>556144.72255302698</v>
      </c>
      <c r="AI206">
        <f t="shared" si="108"/>
        <v>4004242.0023817942</v>
      </c>
      <c r="AJ206">
        <f t="shared" si="109"/>
        <v>5720345.7176882774</v>
      </c>
      <c r="AK206">
        <f t="shared" si="110"/>
        <v>47.669547647402304</v>
      </c>
      <c r="AL206">
        <f t="shared" si="111"/>
        <v>169.88163654803989</v>
      </c>
      <c r="AM206">
        <f t="shared" si="112"/>
        <v>971781.69214145641</v>
      </c>
      <c r="AN206">
        <f t="shared" si="113"/>
        <v>32.943399363595368</v>
      </c>
      <c r="AO206" s="29">
        <v>332885.34682636702</v>
      </c>
      <c r="AP206">
        <f t="shared" si="114"/>
        <v>2396774.4971498428</v>
      </c>
      <c r="AQ206">
        <f t="shared" si="115"/>
        <v>3423963.567356918</v>
      </c>
      <c r="AR206">
        <f t="shared" si="116"/>
        <v>28.533029727974316</v>
      </c>
      <c r="AS206">
        <f t="shared" si="117"/>
        <v>183.24109245405566</v>
      </c>
      <c r="AT206">
        <f t="shared" si="118"/>
        <v>627410.82460536726</v>
      </c>
      <c r="AU206">
        <f t="shared" si="119"/>
        <v>21.269226954121947</v>
      </c>
      <c r="AV206" s="29">
        <v>164931.48181772701</v>
      </c>
      <c r="AW206">
        <f t="shared" si="120"/>
        <v>1187506.6690876344</v>
      </c>
      <c r="AX206">
        <f t="shared" si="121"/>
        <v>1696438.0986966204</v>
      </c>
      <c r="AY206">
        <f t="shared" si="122"/>
        <v>14.13698415580517</v>
      </c>
      <c r="AZ206">
        <f t="shared" si="123"/>
        <v>193.29116200443789</v>
      </c>
      <c r="BA206">
        <f t="shared" si="124"/>
        <v>327906.49136566906</v>
      </c>
      <c r="BB206">
        <f t="shared" si="125"/>
        <v>11.116030057296181</v>
      </c>
      <c r="BC206" s="29">
        <v>358625.898086956</v>
      </c>
      <c r="BD206">
        <f t="shared" si="126"/>
        <v>2582106.4662260832</v>
      </c>
      <c r="BE206">
        <f t="shared" si="127"/>
        <v>3688723.5231801192</v>
      </c>
      <c r="BF206">
        <f t="shared" si="128"/>
        <v>30.73936269316766</v>
      </c>
      <c r="BG206">
        <f t="shared" si="129"/>
        <v>181.70082227080749</v>
      </c>
      <c r="BH206">
        <f t="shared" si="130"/>
        <v>670244.09729149775</v>
      </c>
      <c r="BI206">
        <f t="shared" si="131"/>
        <v>22.721274898181772</v>
      </c>
      <c r="BJ206" s="29">
        <v>288238.645991828</v>
      </c>
      <c r="BK206">
        <f t="shared" si="132"/>
        <v>2075318.2511411617</v>
      </c>
      <c r="BL206">
        <f t="shared" si="133"/>
        <v>2964740.3587730881</v>
      </c>
      <c r="BM206">
        <f t="shared" si="134"/>
        <v>24.706169656442398</v>
      </c>
      <c r="BN206">
        <f t="shared" si="135"/>
        <v>185.91267401342699</v>
      </c>
      <c r="BO206">
        <f t="shared" si="136"/>
        <v>551182.80785503169</v>
      </c>
      <c r="BP206">
        <f t="shared" si="137"/>
        <v>18.685097186285574</v>
      </c>
    </row>
    <row r="207" spans="1:68" x14ac:dyDescent="0.25">
      <c r="A207">
        <v>24</v>
      </c>
      <c r="B207">
        <v>60</v>
      </c>
      <c r="C207">
        <f t="shared" si="147"/>
        <v>2.9999999999999997E-4</v>
      </c>
      <c r="D207">
        <v>0.153</v>
      </c>
      <c r="E207">
        <f t="shared" si="87"/>
        <v>4.5899999999999995E-3</v>
      </c>
      <c r="F207" s="29">
        <v>499996.8</v>
      </c>
      <c r="G207">
        <f t="shared" si="88"/>
        <v>3599976.96</v>
      </c>
      <c r="H207">
        <f t="shared" si="89"/>
        <v>5142824.2285714289</v>
      </c>
      <c r="I207">
        <f t="shared" si="90"/>
        <v>42.856868571428571</v>
      </c>
      <c r="J207">
        <f t="shared" si="91"/>
        <v>173.24143137466308</v>
      </c>
      <c r="K207">
        <f t="shared" si="92"/>
        <v>890950.2306660118</v>
      </c>
      <c r="L207">
        <f t="shared" si="93"/>
        <v>40.894615587569938</v>
      </c>
      <c r="M207" s="7">
        <v>415656.00473225798</v>
      </c>
      <c r="N207">
        <f t="shared" si="94"/>
        <v>2992723.2340722573</v>
      </c>
      <c r="O207">
        <f t="shared" si="95"/>
        <v>4275318.9058175106</v>
      </c>
      <c r="P207">
        <f t="shared" si="96"/>
        <v>35.627657548479256</v>
      </c>
      <c r="Q207">
        <f t="shared" si="97"/>
        <v>178.28823906992957</v>
      </c>
      <c r="R207">
        <f t="shared" si="98"/>
        <v>762239.07918058208</v>
      </c>
      <c r="S207">
        <f t="shared" si="99"/>
        <v>34.986773734388713</v>
      </c>
      <c r="T207" s="29">
        <v>373470.55883536697</v>
      </c>
      <c r="U207">
        <f t="shared" si="141"/>
        <v>2688988.0236146422</v>
      </c>
      <c r="V207">
        <f t="shared" si="142"/>
        <v>3841411.4623066313</v>
      </c>
      <c r="W207">
        <f t="shared" si="143"/>
        <v>32.011762185888593</v>
      </c>
      <c r="X207">
        <f t="shared" si="100"/>
        <v>180.81254337966269</v>
      </c>
      <c r="Y207">
        <f t="shared" si="101"/>
        <v>694575.37666745123</v>
      </c>
      <c r="Z207">
        <f t="shared" si="102"/>
        <v>31.88100978903601</v>
      </c>
      <c r="AA207" s="29">
        <v>373515.69299174298</v>
      </c>
      <c r="AB207">
        <f t="shared" si="144"/>
        <v>2689312.9895405495</v>
      </c>
      <c r="AC207">
        <f t="shared" si="103"/>
        <v>3841875.6993436422</v>
      </c>
      <c r="AD207">
        <f t="shared" si="104"/>
        <v>32.015630827863681</v>
      </c>
      <c r="AE207">
        <f t="shared" si="105"/>
        <v>180.80984262960459</v>
      </c>
      <c r="AF207">
        <f t="shared" si="106"/>
        <v>694648.94060082606</v>
      </c>
      <c r="AG207">
        <f t="shared" si="107"/>
        <v>31.884386373577914</v>
      </c>
      <c r="AH207" s="29">
        <v>310275.13948761497</v>
      </c>
      <c r="AI207">
        <f t="shared" si="108"/>
        <v>2233981.0043108277</v>
      </c>
      <c r="AJ207">
        <f t="shared" si="109"/>
        <v>3191401.434729754</v>
      </c>
      <c r="AK207">
        <f t="shared" si="110"/>
        <v>26.595011956081279</v>
      </c>
      <c r="AL207">
        <f t="shared" si="111"/>
        <v>184.59404825707534</v>
      </c>
      <c r="AM207">
        <f t="shared" si="112"/>
        <v>589113.71045020362</v>
      </c>
      <c r="AN207">
        <f t="shared" si="113"/>
        <v>27.040319309664344</v>
      </c>
      <c r="AO207" s="29">
        <v>152876.28992358799</v>
      </c>
      <c r="AP207">
        <f t="shared" si="114"/>
        <v>1100709.2874498335</v>
      </c>
      <c r="AQ207">
        <f t="shared" si="115"/>
        <v>1572441.8392140479</v>
      </c>
      <c r="AR207">
        <f t="shared" si="116"/>
        <v>13.103681993450397</v>
      </c>
      <c r="AS207">
        <f t="shared" si="117"/>
        <v>194.01252389136482</v>
      </c>
      <c r="AT207">
        <f t="shared" si="118"/>
        <v>305073.4098982971</v>
      </c>
      <c r="AU207">
        <f t="shared" si="119"/>
        <v>14.002869514331836</v>
      </c>
      <c r="AV207" s="29">
        <v>0</v>
      </c>
      <c r="AW207">
        <f t="shared" si="120"/>
        <v>0</v>
      </c>
      <c r="AX207">
        <f t="shared" si="121"/>
        <v>0</v>
      </c>
      <c r="AY207">
        <f t="shared" si="122"/>
        <v>0</v>
      </c>
      <c r="AZ207">
        <f t="shared" si="123"/>
        <v>203.16037735849056</v>
      </c>
      <c r="BA207">
        <f t="shared" si="124"/>
        <v>0</v>
      </c>
      <c r="BB207">
        <f t="shared" si="125"/>
        <v>0</v>
      </c>
      <c r="BC207" s="29">
        <v>126359.56881684699</v>
      </c>
      <c r="BD207">
        <f t="shared" si="126"/>
        <v>909788.89548129833</v>
      </c>
      <c r="BE207">
        <f t="shared" si="127"/>
        <v>1299698.4221161404</v>
      </c>
      <c r="BF207">
        <f t="shared" si="128"/>
        <v>10.830820184301171</v>
      </c>
      <c r="BG207">
        <f t="shared" si="129"/>
        <v>195.59923873926144</v>
      </c>
      <c r="BH207">
        <f t="shared" si="130"/>
        <v>254220.02195653634</v>
      </c>
      <c r="BI207">
        <f t="shared" si="131"/>
        <v>11.668699007805017</v>
      </c>
      <c r="BJ207" s="29">
        <v>0</v>
      </c>
      <c r="BK207">
        <f t="shared" si="132"/>
        <v>0</v>
      </c>
      <c r="BL207">
        <f t="shared" si="133"/>
        <v>0</v>
      </c>
      <c r="BM207">
        <f t="shared" si="134"/>
        <v>0</v>
      </c>
      <c r="BN207">
        <f t="shared" si="135"/>
        <v>203.16037735849056</v>
      </c>
      <c r="BO207">
        <f t="shared" si="136"/>
        <v>0</v>
      </c>
      <c r="BP207">
        <f t="shared" si="137"/>
        <v>0</v>
      </c>
    </row>
    <row r="208" spans="1:68" x14ac:dyDescent="0.25">
      <c r="A208">
        <v>24</v>
      </c>
      <c r="B208">
        <v>80</v>
      </c>
      <c r="C208">
        <f t="shared" si="147"/>
        <v>2.9999999999999997E-4</v>
      </c>
      <c r="D208">
        <v>0.17399999999999999</v>
      </c>
      <c r="E208">
        <f t="shared" si="87"/>
        <v>5.2199999999999998E-3</v>
      </c>
      <c r="F208" s="29">
        <v>499996.8</v>
      </c>
      <c r="G208">
        <f t="shared" si="88"/>
        <v>3599976.96</v>
      </c>
      <c r="H208">
        <f t="shared" si="89"/>
        <v>5142824.2285714289</v>
      </c>
      <c r="I208">
        <f t="shared" si="90"/>
        <v>42.856868571428571</v>
      </c>
      <c r="J208">
        <f t="shared" si="91"/>
        <v>173.24143137466308</v>
      </c>
      <c r="K208">
        <f t="shared" si="92"/>
        <v>890950.2306660118</v>
      </c>
      <c r="L208">
        <f t="shared" si="93"/>
        <v>46.507602040765811</v>
      </c>
      <c r="M208" s="7">
        <v>303925.71631891897</v>
      </c>
      <c r="N208">
        <f t="shared" si="94"/>
        <v>2188265.1574962167</v>
      </c>
      <c r="O208">
        <f t="shared" si="95"/>
        <v>3126093.0821374524</v>
      </c>
      <c r="P208">
        <f t="shared" si="96"/>
        <v>26.050775684478769</v>
      </c>
      <c r="Q208">
        <f t="shared" si="97"/>
        <v>184.97398678630728</v>
      </c>
      <c r="R208">
        <f t="shared" si="98"/>
        <v>578245.90046805982</v>
      </c>
      <c r="S208">
        <f t="shared" si="99"/>
        <v>30.184436004432719</v>
      </c>
      <c r="T208" s="29">
        <v>205883.442035588</v>
      </c>
      <c r="U208">
        <f t="shared" si="141"/>
        <v>1482360.7826562335</v>
      </c>
      <c r="V208">
        <f t="shared" si="142"/>
        <v>2117658.2609374765</v>
      </c>
      <c r="W208">
        <f t="shared" si="143"/>
        <v>17.647152174478972</v>
      </c>
      <c r="X208">
        <f t="shared" si="100"/>
        <v>190.84066734989204</v>
      </c>
      <c r="Y208">
        <f t="shared" si="101"/>
        <v>404135.31573631981</v>
      </c>
      <c r="Z208">
        <f t="shared" si="102"/>
        <v>21.095863481435892</v>
      </c>
      <c r="AA208" s="29">
        <v>205903.63709647401</v>
      </c>
      <c r="AB208">
        <f t="shared" si="144"/>
        <v>1482506.187094613</v>
      </c>
      <c r="AC208">
        <f t="shared" si="103"/>
        <v>2117865.981563733</v>
      </c>
      <c r="AD208">
        <f t="shared" si="104"/>
        <v>17.648883179697773</v>
      </c>
      <c r="AE208">
        <f t="shared" si="105"/>
        <v>190.83945891228646</v>
      </c>
      <c r="AF208">
        <f t="shared" si="106"/>
        <v>404172.39797036123</v>
      </c>
      <c r="AG208">
        <f t="shared" si="107"/>
        <v>21.097799174052852</v>
      </c>
      <c r="AH208" s="29">
        <v>58857.055644712003</v>
      </c>
      <c r="AI208">
        <f t="shared" si="108"/>
        <v>423770.80064192641</v>
      </c>
      <c r="AJ208">
        <f t="shared" si="109"/>
        <v>605386.85805989488</v>
      </c>
      <c r="AK208">
        <f t="shared" si="110"/>
        <v>5.0448904838324573</v>
      </c>
      <c r="AL208">
        <f t="shared" si="111"/>
        <v>199.63847268109811</v>
      </c>
      <c r="AM208">
        <f t="shared" si="112"/>
        <v>120858.50772428614</v>
      </c>
      <c r="AN208">
        <f t="shared" si="113"/>
        <v>6.3088141032077365</v>
      </c>
      <c r="AO208" s="29">
        <v>0</v>
      </c>
      <c r="AP208">
        <f t="shared" si="114"/>
        <v>0</v>
      </c>
      <c r="AQ208">
        <f t="shared" si="115"/>
        <v>0</v>
      </c>
      <c r="AR208">
        <f t="shared" si="116"/>
        <v>0</v>
      </c>
      <c r="AS208">
        <f t="shared" si="117"/>
        <v>203.16037735849056</v>
      </c>
      <c r="AT208">
        <f t="shared" si="118"/>
        <v>0</v>
      </c>
      <c r="AU208">
        <f t="shared" si="119"/>
        <v>0</v>
      </c>
      <c r="AV208" s="29">
        <v>0</v>
      </c>
      <c r="AW208">
        <f t="shared" si="120"/>
        <v>0</v>
      </c>
      <c r="AX208">
        <f t="shared" si="121"/>
        <v>0</v>
      </c>
      <c r="AY208">
        <f t="shared" si="122"/>
        <v>0</v>
      </c>
      <c r="AZ208">
        <f t="shared" si="123"/>
        <v>203.16037735849056</v>
      </c>
      <c r="BA208">
        <f t="shared" si="124"/>
        <v>0</v>
      </c>
      <c r="BB208">
        <f t="shared" si="125"/>
        <v>0</v>
      </c>
      <c r="BC208" s="29">
        <v>0</v>
      </c>
      <c r="BD208">
        <f t="shared" si="126"/>
        <v>0</v>
      </c>
      <c r="BE208">
        <f t="shared" si="127"/>
        <v>0</v>
      </c>
      <c r="BF208">
        <f t="shared" si="128"/>
        <v>0</v>
      </c>
      <c r="BG208">
        <f t="shared" si="129"/>
        <v>203.16037735849056</v>
      </c>
      <c r="BH208">
        <f t="shared" si="130"/>
        <v>0</v>
      </c>
      <c r="BI208">
        <f t="shared" si="131"/>
        <v>0</v>
      </c>
      <c r="BJ208" s="29">
        <v>0</v>
      </c>
      <c r="BK208">
        <f t="shared" si="132"/>
        <v>0</v>
      </c>
      <c r="BL208">
        <f t="shared" si="133"/>
        <v>0</v>
      </c>
      <c r="BM208">
        <f t="shared" si="134"/>
        <v>0</v>
      </c>
      <c r="BN208">
        <f t="shared" si="135"/>
        <v>203.16037735849056</v>
      </c>
      <c r="BO208">
        <f t="shared" si="136"/>
        <v>0</v>
      </c>
      <c r="BP208">
        <f t="shared" si="137"/>
        <v>0</v>
      </c>
    </row>
    <row r="209" spans="1:68" x14ac:dyDescent="0.25">
      <c r="A209">
        <v>24</v>
      </c>
      <c r="B209">
        <v>100</v>
      </c>
      <c r="C209">
        <f t="shared" si="147"/>
        <v>2.9999999999999997E-4</v>
      </c>
      <c r="D209">
        <v>0.17399999999999999</v>
      </c>
      <c r="E209">
        <f t="shared" si="87"/>
        <v>5.2199999999999998E-3</v>
      </c>
      <c r="F209" s="29">
        <v>499996.8</v>
      </c>
      <c r="G209">
        <f t="shared" si="88"/>
        <v>3599976.96</v>
      </c>
      <c r="H209">
        <f t="shared" si="89"/>
        <v>5142824.2285714289</v>
      </c>
      <c r="I209">
        <f t="shared" si="90"/>
        <v>42.856868571428571</v>
      </c>
      <c r="J209">
        <f t="shared" si="91"/>
        <v>173.24143137466308</v>
      </c>
      <c r="K209">
        <f t="shared" si="92"/>
        <v>890950.2306660118</v>
      </c>
      <c r="L209">
        <f t="shared" si="93"/>
        <v>46.507602040765811</v>
      </c>
      <c r="M209" s="7">
        <v>278886.97278927598</v>
      </c>
      <c r="N209">
        <f t="shared" si="94"/>
        <v>2007986.204082787</v>
      </c>
      <c r="O209">
        <f t="shared" si="95"/>
        <v>2868551.720118267</v>
      </c>
      <c r="P209">
        <f t="shared" si="96"/>
        <v>23.904597667652226</v>
      </c>
      <c r="Q209">
        <f t="shared" si="97"/>
        <v>186.47226200560127</v>
      </c>
      <c r="R209">
        <f t="shared" si="98"/>
        <v>534905.32793051167</v>
      </c>
      <c r="S209">
        <f t="shared" si="99"/>
        <v>27.922058117972707</v>
      </c>
      <c r="T209" s="29">
        <v>168381.24183647899</v>
      </c>
      <c r="U209">
        <f t="shared" si="141"/>
        <v>1212344.9412226488</v>
      </c>
      <c r="V209">
        <f t="shared" si="142"/>
        <v>1731921.3446037839</v>
      </c>
      <c r="W209">
        <f t="shared" si="143"/>
        <v>14.432677871698198</v>
      </c>
      <c r="X209">
        <f t="shared" si="100"/>
        <v>193.08473431598426</v>
      </c>
      <c r="Y209">
        <f t="shared" si="101"/>
        <v>334407.57267900382</v>
      </c>
      <c r="Z209">
        <f t="shared" si="102"/>
        <v>17.456075293843998</v>
      </c>
      <c r="AA209" s="29">
        <v>168233.676317284</v>
      </c>
      <c r="AB209">
        <f t="shared" si="144"/>
        <v>1211282.4694844449</v>
      </c>
      <c r="AC209">
        <f t="shared" si="103"/>
        <v>1730403.5278349214</v>
      </c>
      <c r="AD209">
        <f t="shared" si="104"/>
        <v>14.420029398624346</v>
      </c>
      <c r="AE209">
        <f t="shared" si="105"/>
        <v>193.09356438209244</v>
      </c>
      <c r="AF209">
        <f t="shared" si="106"/>
        <v>334129.78500899224</v>
      </c>
      <c r="AG209">
        <f t="shared" si="107"/>
        <v>17.441574777469395</v>
      </c>
      <c r="AH209" s="29">
        <v>2352.1144759265499</v>
      </c>
      <c r="AI209">
        <f t="shared" si="108"/>
        <v>16935.224226671158</v>
      </c>
      <c r="AJ209">
        <f t="shared" si="109"/>
        <v>24193.177466673085</v>
      </c>
      <c r="AK209">
        <f t="shared" si="110"/>
        <v>0.20160981222227572</v>
      </c>
      <c r="AL209">
        <f t="shared" si="111"/>
        <v>203.01963088580709</v>
      </c>
      <c r="AM209">
        <f t="shared" si="112"/>
        <v>4911.6899592387954</v>
      </c>
      <c r="AN209">
        <f t="shared" si="113"/>
        <v>0.25639021587226507</v>
      </c>
      <c r="AO209" s="29">
        <v>0</v>
      </c>
      <c r="AP209">
        <f t="shared" si="114"/>
        <v>0</v>
      </c>
      <c r="AQ209">
        <f t="shared" si="115"/>
        <v>0</v>
      </c>
      <c r="AR209">
        <f t="shared" si="116"/>
        <v>0</v>
      </c>
      <c r="AS209">
        <f t="shared" si="117"/>
        <v>203.16037735849056</v>
      </c>
      <c r="AT209">
        <f t="shared" si="118"/>
        <v>0</v>
      </c>
      <c r="AU209">
        <f t="shared" si="119"/>
        <v>0</v>
      </c>
      <c r="AV209" s="29">
        <v>0</v>
      </c>
      <c r="AW209">
        <f t="shared" si="120"/>
        <v>0</v>
      </c>
      <c r="AX209">
        <f t="shared" si="121"/>
        <v>0</v>
      </c>
      <c r="AY209">
        <f t="shared" si="122"/>
        <v>0</v>
      </c>
      <c r="AZ209">
        <f t="shared" si="123"/>
        <v>203.16037735849056</v>
      </c>
      <c r="BA209">
        <f t="shared" si="124"/>
        <v>0</v>
      </c>
      <c r="BB209">
        <f t="shared" si="125"/>
        <v>0</v>
      </c>
      <c r="BC209" s="29">
        <v>0</v>
      </c>
      <c r="BD209">
        <f t="shared" si="126"/>
        <v>0</v>
      </c>
      <c r="BE209">
        <f t="shared" si="127"/>
        <v>0</v>
      </c>
      <c r="BF209">
        <f t="shared" si="128"/>
        <v>0</v>
      </c>
      <c r="BG209">
        <f t="shared" si="129"/>
        <v>203.16037735849056</v>
      </c>
      <c r="BH209">
        <f t="shared" si="130"/>
        <v>0</v>
      </c>
      <c r="BI209">
        <f t="shared" si="131"/>
        <v>0</v>
      </c>
      <c r="BJ209" s="29">
        <v>0</v>
      </c>
      <c r="BK209">
        <f t="shared" si="132"/>
        <v>0</v>
      </c>
      <c r="BL209">
        <f t="shared" si="133"/>
        <v>0</v>
      </c>
      <c r="BM209">
        <f t="shared" si="134"/>
        <v>0</v>
      </c>
      <c r="BN209">
        <f t="shared" si="135"/>
        <v>203.16037735849056</v>
      </c>
      <c r="BO209">
        <f t="shared" si="136"/>
        <v>0</v>
      </c>
      <c r="BP209">
        <f t="shared" si="137"/>
        <v>0</v>
      </c>
    </row>
    <row r="210" spans="1:68" x14ac:dyDescent="0.25">
      <c r="A210">
        <v>24</v>
      </c>
      <c r="B210">
        <v>120</v>
      </c>
      <c r="C210">
        <f t="shared" si="147"/>
        <v>2.9999999999999997E-4</v>
      </c>
      <c r="D210">
        <v>0.153</v>
      </c>
      <c r="E210">
        <f t="shared" si="87"/>
        <v>4.5899999999999995E-3</v>
      </c>
      <c r="F210" s="29">
        <v>499996.8</v>
      </c>
      <c r="G210">
        <f t="shared" si="88"/>
        <v>3599976.96</v>
      </c>
      <c r="H210">
        <f t="shared" si="89"/>
        <v>5142824.2285714289</v>
      </c>
      <c r="I210">
        <f t="shared" si="90"/>
        <v>42.856868571428571</v>
      </c>
      <c r="J210">
        <f t="shared" si="91"/>
        <v>173.24143137466308</v>
      </c>
      <c r="K210">
        <f t="shared" si="92"/>
        <v>890950.2306660118</v>
      </c>
      <c r="L210">
        <f t="shared" si="93"/>
        <v>40.894615587569938</v>
      </c>
      <c r="M210" s="7">
        <v>365594.239953977</v>
      </c>
      <c r="N210">
        <f t="shared" si="94"/>
        <v>2632278.5276686344</v>
      </c>
      <c r="O210">
        <f t="shared" si="95"/>
        <v>3760397.8966694777</v>
      </c>
      <c r="P210">
        <f t="shared" si="96"/>
        <v>31.336649138912314</v>
      </c>
      <c r="Q210">
        <f t="shared" si="97"/>
        <v>181.28384871434423</v>
      </c>
      <c r="R210">
        <f t="shared" si="98"/>
        <v>681699.40340556786</v>
      </c>
      <c r="S210">
        <f t="shared" si="99"/>
        <v>31.290002616315562</v>
      </c>
      <c r="T210" s="29">
        <v>298462.882202501</v>
      </c>
      <c r="U210">
        <f t="shared" si="141"/>
        <v>2148932.7518580072</v>
      </c>
      <c r="V210">
        <f t="shared" si="142"/>
        <v>3069903.9312257245</v>
      </c>
      <c r="W210">
        <f t="shared" si="143"/>
        <v>25.58253276021437</v>
      </c>
      <c r="X210">
        <f t="shared" si="100"/>
        <v>185.30087335607675</v>
      </c>
      <c r="Y210">
        <f t="shared" si="101"/>
        <v>568855.87957538012</v>
      </c>
      <c r="Z210">
        <f t="shared" si="102"/>
        <v>26.110484872509947</v>
      </c>
      <c r="AA210" s="29">
        <v>298252.99907526898</v>
      </c>
      <c r="AB210">
        <f t="shared" si="144"/>
        <v>2147421.5933419368</v>
      </c>
      <c r="AC210">
        <f t="shared" si="103"/>
        <v>3067745.133345624</v>
      </c>
      <c r="AD210">
        <f t="shared" si="104"/>
        <v>25.564542777880202</v>
      </c>
      <c r="AE210">
        <f t="shared" si="105"/>
        <v>185.31343240034778</v>
      </c>
      <c r="AF210">
        <f t="shared" si="106"/>
        <v>568494.38038974011</v>
      </c>
      <c r="AG210">
        <f t="shared" si="107"/>
        <v>26.093892059889068</v>
      </c>
      <c r="AH210" s="29">
        <v>197381.098612904</v>
      </c>
      <c r="AI210">
        <f t="shared" si="108"/>
        <v>1421143.9100129087</v>
      </c>
      <c r="AJ210">
        <f t="shared" si="109"/>
        <v>2030205.5857327271</v>
      </c>
      <c r="AK210">
        <f t="shared" si="110"/>
        <v>16.918379881106059</v>
      </c>
      <c r="AL210">
        <f t="shared" si="111"/>
        <v>191.3494329131901</v>
      </c>
      <c r="AM210">
        <f t="shared" si="112"/>
        <v>388478.68752714823</v>
      </c>
      <c r="AN210">
        <f t="shared" si="113"/>
        <v>17.831171757496104</v>
      </c>
      <c r="AO210" s="29">
        <v>0</v>
      </c>
      <c r="AP210">
        <f t="shared" si="114"/>
        <v>0</v>
      </c>
      <c r="AQ210">
        <f t="shared" si="115"/>
        <v>0</v>
      </c>
      <c r="AR210">
        <f t="shared" si="116"/>
        <v>0</v>
      </c>
      <c r="AS210">
        <f t="shared" si="117"/>
        <v>203.16037735849056</v>
      </c>
      <c r="AT210">
        <f t="shared" si="118"/>
        <v>0</v>
      </c>
      <c r="AU210">
        <f t="shared" si="119"/>
        <v>0</v>
      </c>
      <c r="AV210" s="29">
        <v>0</v>
      </c>
      <c r="AW210">
        <f t="shared" si="120"/>
        <v>0</v>
      </c>
      <c r="AX210">
        <f t="shared" si="121"/>
        <v>0</v>
      </c>
      <c r="AY210">
        <f t="shared" si="122"/>
        <v>0</v>
      </c>
      <c r="AZ210">
        <f t="shared" si="123"/>
        <v>203.16037735849056</v>
      </c>
      <c r="BA210">
        <f t="shared" si="124"/>
        <v>0</v>
      </c>
      <c r="BB210">
        <f t="shared" si="125"/>
        <v>0</v>
      </c>
      <c r="BC210" s="29">
        <v>0</v>
      </c>
      <c r="BD210">
        <f t="shared" si="126"/>
        <v>0</v>
      </c>
      <c r="BE210">
        <f t="shared" si="127"/>
        <v>0</v>
      </c>
      <c r="BF210">
        <f t="shared" si="128"/>
        <v>0</v>
      </c>
      <c r="BG210">
        <f t="shared" si="129"/>
        <v>203.16037735849056</v>
      </c>
      <c r="BH210">
        <f t="shared" si="130"/>
        <v>0</v>
      </c>
      <c r="BI210">
        <f t="shared" si="131"/>
        <v>0</v>
      </c>
      <c r="BJ210" s="29">
        <v>0</v>
      </c>
      <c r="BK210">
        <f t="shared" si="132"/>
        <v>0</v>
      </c>
      <c r="BL210">
        <f t="shared" si="133"/>
        <v>0</v>
      </c>
      <c r="BM210">
        <f t="shared" si="134"/>
        <v>0</v>
      </c>
      <c r="BN210">
        <f t="shared" si="135"/>
        <v>203.16037735849056</v>
      </c>
      <c r="BO210">
        <f t="shared" si="136"/>
        <v>0</v>
      </c>
      <c r="BP210">
        <f t="shared" si="137"/>
        <v>0</v>
      </c>
    </row>
    <row r="211" spans="1:68" x14ac:dyDescent="0.25">
      <c r="A211">
        <v>24</v>
      </c>
      <c r="B211">
        <v>140</v>
      </c>
      <c r="C211">
        <f t="shared" si="147"/>
        <v>2.9999999999999997E-4</v>
      </c>
      <c r="D211">
        <v>0.113</v>
      </c>
      <c r="E211">
        <f t="shared" si="87"/>
        <v>3.3899999999999998E-3</v>
      </c>
      <c r="F211" s="29">
        <v>499996.8</v>
      </c>
      <c r="G211">
        <f t="shared" si="88"/>
        <v>3599976.96</v>
      </c>
      <c r="H211">
        <f t="shared" si="89"/>
        <v>5142824.2285714289</v>
      </c>
      <c r="I211">
        <f t="shared" si="90"/>
        <v>42.856868571428571</v>
      </c>
      <c r="J211">
        <f t="shared" si="91"/>
        <v>173.24143137466308</v>
      </c>
      <c r="K211">
        <f t="shared" si="92"/>
        <v>890950.2306660118</v>
      </c>
      <c r="L211">
        <f t="shared" si="93"/>
        <v>30.203212819577796</v>
      </c>
      <c r="M211" s="7">
        <v>482529.40589209</v>
      </c>
      <c r="N211">
        <f t="shared" si="94"/>
        <v>3474211.7224230482</v>
      </c>
      <c r="O211">
        <f t="shared" si="95"/>
        <v>4963159.6034614975</v>
      </c>
      <c r="P211">
        <f t="shared" si="96"/>
        <v>41.359663362179148</v>
      </c>
      <c r="Q211">
        <f t="shared" si="97"/>
        <v>174.2866501056485</v>
      </c>
      <c r="R211">
        <f t="shared" si="98"/>
        <v>865012.46122698323</v>
      </c>
      <c r="S211">
        <f t="shared" si="99"/>
        <v>29.323922435594728</v>
      </c>
      <c r="T211" s="29">
        <v>473797.1637647</v>
      </c>
      <c r="U211">
        <f t="shared" si="141"/>
        <v>3411339.5791058401</v>
      </c>
      <c r="V211">
        <f t="shared" si="142"/>
        <v>4873342.2558654863</v>
      </c>
      <c r="W211">
        <f t="shared" si="143"/>
        <v>40.611185465545717</v>
      </c>
      <c r="X211">
        <f t="shared" si="100"/>
        <v>174.80917241084543</v>
      </c>
      <c r="Y211">
        <f t="shared" si="101"/>
        <v>851904.92662264826</v>
      </c>
      <c r="Z211">
        <f t="shared" si="102"/>
        <v>28.879577012507774</v>
      </c>
      <c r="AA211" s="29">
        <v>473792.79529609502</v>
      </c>
      <c r="AB211">
        <f t="shared" si="144"/>
        <v>3411308.1261318843</v>
      </c>
      <c r="AC211">
        <f t="shared" si="103"/>
        <v>4873297.323045549</v>
      </c>
      <c r="AD211">
        <f t="shared" si="104"/>
        <v>40.610811025379576</v>
      </c>
      <c r="AE211">
        <f t="shared" si="105"/>
        <v>174.80943381247087</v>
      </c>
      <c r="AF211">
        <f t="shared" si="106"/>
        <v>851898.34584142233</v>
      </c>
      <c r="AG211">
        <f t="shared" si="107"/>
        <v>28.879353924024215</v>
      </c>
      <c r="AH211" s="29">
        <v>460690.792944143</v>
      </c>
      <c r="AI211">
        <f t="shared" si="108"/>
        <v>3316973.7091978295</v>
      </c>
      <c r="AJ211">
        <f t="shared" si="109"/>
        <v>4738533.8702826137</v>
      </c>
      <c r="AK211">
        <f t="shared" si="110"/>
        <v>39.48778225235511</v>
      </c>
      <c r="AL211">
        <f t="shared" si="111"/>
        <v>175.59343503137472</v>
      </c>
      <c r="AM211">
        <f t="shared" si="112"/>
        <v>832055.43929543882</v>
      </c>
      <c r="AN211">
        <f t="shared" si="113"/>
        <v>28.206679392115372</v>
      </c>
      <c r="AO211" s="29">
        <v>0</v>
      </c>
      <c r="AP211">
        <f t="shared" si="114"/>
        <v>0</v>
      </c>
      <c r="AQ211">
        <f t="shared" si="115"/>
        <v>0</v>
      </c>
      <c r="AR211">
        <f t="shared" si="116"/>
        <v>0</v>
      </c>
      <c r="AS211">
        <f t="shared" si="117"/>
        <v>203.16037735849056</v>
      </c>
      <c r="AT211">
        <f t="shared" si="118"/>
        <v>0</v>
      </c>
      <c r="AU211">
        <f t="shared" si="119"/>
        <v>0</v>
      </c>
      <c r="AV211" s="29">
        <v>0</v>
      </c>
      <c r="AW211">
        <f t="shared" si="120"/>
        <v>0</v>
      </c>
      <c r="AX211">
        <f t="shared" si="121"/>
        <v>0</v>
      </c>
      <c r="AY211">
        <f t="shared" si="122"/>
        <v>0</v>
      </c>
      <c r="AZ211">
        <f t="shared" si="123"/>
        <v>203.16037735849056</v>
      </c>
      <c r="BA211">
        <f t="shared" si="124"/>
        <v>0</v>
      </c>
      <c r="BB211">
        <f t="shared" si="125"/>
        <v>0</v>
      </c>
      <c r="BC211" s="29">
        <v>59702.599387450296</v>
      </c>
      <c r="BD211">
        <f t="shared" si="126"/>
        <v>429858.71558964212</v>
      </c>
      <c r="BE211">
        <f t="shared" si="127"/>
        <v>614083.87941377447</v>
      </c>
      <c r="BF211">
        <f t="shared" si="128"/>
        <v>5.117365661781454</v>
      </c>
      <c r="BG211">
        <f t="shared" si="129"/>
        <v>199.58787680215258</v>
      </c>
      <c r="BH211">
        <f t="shared" si="130"/>
        <v>122563.69767062434</v>
      </c>
      <c r="BI211">
        <f t="shared" si="131"/>
        <v>4.1549093510341653</v>
      </c>
      <c r="BJ211" s="29">
        <v>0</v>
      </c>
      <c r="BK211">
        <f t="shared" si="132"/>
        <v>0</v>
      </c>
      <c r="BL211">
        <f t="shared" si="133"/>
        <v>0</v>
      </c>
      <c r="BM211">
        <f t="shared" si="134"/>
        <v>0</v>
      </c>
      <c r="BN211">
        <f t="shared" si="135"/>
        <v>203.16037735849056</v>
      </c>
      <c r="BO211">
        <f t="shared" si="136"/>
        <v>0</v>
      </c>
      <c r="BP211">
        <f t="shared" si="137"/>
        <v>0</v>
      </c>
    </row>
    <row r="212" spans="1:68" x14ac:dyDescent="0.25">
      <c r="A212">
        <v>24</v>
      </c>
      <c r="B212">
        <v>160</v>
      </c>
      <c r="C212">
        <f t="shared" si="147"/>
        <v>2.9999999999999997E-4</v>
      </c>
      <c r="D212">
        <v>0.06</v>
      </c>
      <c r="E212">
        <f t="shared" si="87"/>
        <v>1.7999999999999997E-3</v>
      </c>
      <c r="F212" s="29">
        <v>499996.8</v>
      </c>
      <c r="G212">
        <f t="shared" si="88"/>
        <v>3599976.96</v>
      </c>
      <c r="H212">
        <f t="shared" si="89"/>
        <v>5142824.2285714289</v>
      </c>
      <c r="I212">
        <f t="shared" si="90"/>
        <v>42.856868571428571</v>
      </c>
      <c r="J212">
        <f t="shared" si="91"/>
        <v>173.24143137466308</v>
      </c>
      <c r="K212">
        <f t="shared" si="92"/>
        <v>890950.2306660118</v>
      </c>
      <c r="L212">
        <f t="shared" si="93"/>
        <v>16.03710415198821</v>
      </c>
      <c r="M212" s="7">
        <v>518996.182208365</v>
      </c>
      <c r="N212">
        <f t="shared" si="94"/>
        <v>3736772.511900228</v>
      </c>
      <c r="O212">
        <f t="shared" si="95"/>
        <v>5338246.4455717551</v>
      </c>
      <c r="P212">
        <f t="shared" si="96"/>
        <v>44.485387046431292</v>
      </c>
      <c r="Q212">
        <f t="shared" si="97"/>
        <v>172.10454111852908</v>
      </c>
      <c r="R212">
        <f t="shared" si="98"/>
        <v>918736.45489274582</v>
      </c>
      <c r="S212">
        <f t="shared" si="99"/>
        <v>16.537256188069421</v>
      </c>
      <c r="T212" s="29">
        <v>528516.777901044</v>
      </c>
      <c r="U212">
        <f t="shared" ref="U212:U213" si="148">$G$12*T212</f>
        <v>3805320.8008875167</v>
      </c>
      <c r="V212">
        <f t="shared" ref="V212:V213" si="149">U212*100/$G$15</f>
        <v>5436172.572696452</v>
      </c>
      <c r="W212">
        <f t="shared" ref="W212:W213" si="150">100*V212/$G$14</f>
        <v>45.301438105803769</v>
      </c>
      <c r="X212">
        <f t="shared" si="100"/>
        <v>171.5348450959483</v>
      </c>
      <c r="Y212">
        <f t="shared" si="101"/>
        <v>932493.02017232857</v>
      </c>
      <c r="Z212">
        <f t="shared" si="102"/>
        <v>16.784874363101913</v>
      </c>
      <c r="AA212" s="29">
        <v>528453.87283415894</v>
      </c>
      <c r="AB212">
        <f t="shared" ref="AB212:AB213" si="151">$H$12*AA212</f>
        <v>3804867.8844059445</v>
      </c>
      <c r="AC212">
        <f t="shared" si="103"/>
        <v>5435525.5491513489</v>
      </c>
      <c r="AD212">
        <f t="shared" si="104"/>
        <v>45.296046242927908</v>
      </c>
      <c r="AE212">
        <f t="shared" si="105"/>
        <v>171.53860922663523</v>
      </c>
      <c r="AF212">
        <f t="shared" si="106"/>
        <v>932402.49311726505</v>
      </c>
      <c r="AG212">
        <f t="shared" si="107"/>
        <v>16.783244876110768</v>
      </c>
      <c r="AH212" s="29">
        <v>542682.40925123903</v>
      </c>
      <c r="AI212">
        <f t="shared" si="108"/>
        <v>3907313.346608921</v>
      </c>
      <c r="AJ212">
        <f t="shared" si="109"/>
        <v>5581876.2094413154</v>
      </c>
      <c r="AK212">
        <f t="shared" si="110"/>
        <v>46.515635078677626</v>
      </c>
      <c r="AL212">
        <f t="shared" si="111"/>
        <v>170.68719815262128</v>
      </c>
      <c r="AM212">
        <f t="shared" si="112"/>
        <v>952754.81062431238</v>
      </c>
      <c r="AN212">
        <f t="shared" si="113"/>
        <v>17.149586591237622</v>
      </c>
      <c r="AO212" s="29">
        <v>0</v>
      </c>
      <c r="AP212">
        <f t="shared" si="114"/>
        <v>0</v>
      </c>
      <c r="AQ212">
        <f t="shared" si="115"/>
        <v>0</v>
      </c>
      <c r="AR212">
        <f t="shared" si="116"/>
        <v>0</v>
      </c>
      <c r="AS212">
        <f t="shared" si="117"/>
        <v>203.16037735849056</v>
      </c>
      <c r="AT212">
        <f t="shared" si="118"/>
        <v>0</v>
      </c>
      <c r="AU212">
        <f t="shared" si="119"/>
        <v>0</v>
      </c>
      <c r="AV212" s="29">
        <v>0</v>
      </c>
      <c r="AW212">
        <f t="shared" si="120"/>
        <v>0</v>
      </c>
      <c r="AX212">
        <f t="shared" si="121"/>
        <v>0</v>
      </c>
      <c r="AY212">
        <f t="shared" si="122"/>
        <v>0</v>
      </c>
      <c r="AZ212">
        <f t="shared" si="123"/>
        <v>203.16037735849056</v>
      </c>
      <c r="BA212">
        <f t="shared" si="124"/>
        <v>0</v>
      </c>
      <c r="BB212">
        <f t="shared" si="125"/>
        <v>0</v>
      </c>
      <c r="BC212" s="29">
        <v>310737.57882181898</v>
      </c>
      <c r="BD212">
        <f t="shared" si="126"/>
        <v>2237310.5675170966</v>
      </c>
      <c r="BE212">
        <f t="shared" si="127"/>
        <v>3196157.9535958525</v>
      </c>
      <c r="BF212">
        <f t="shared" si="128"/>
        <v>26.63464961329877</v>
      </c>
      <c r="BG212">
        <f t="shared" si="129"/>
        <v>184.56637668505559</v>
      </c>
      <c r="BH212">
        <f t="shared" si="130"/>
        <v>589903.2928083085</v>
      </c>
      <c r="BI212">
        <f t="shared" si="131"/>
        <v>10.618259270549551</v>
      </c>
      <c r="BJ212" s="29">
        <v>215203.51027805</v>
      </c>
      <c r="BK212">
        <f t="shared" si="132"/>
        <v>1549465.2740019599</v>
      </c>
      <c r="BL212">
        <f t="shared" si="133"/>
        <v>2213521.8200027999</v>
      </c>
      <c r="BM212">
        <f t="shared" si="134"/>
        <v>18.44601516669</v>
      </c>
      <c r="BN212">
        <f t="shared" si="135"/>
        <v>190.28297054400886</v>
      </c>
      <c r="BO212">
        <f t="shared" si="136"/>
        <v>421195.50727411365</v>
      </c>
      <c r="BP212">
        <f t="shared" si="137"/>
        <v>7.5815191309340442</v>
      </c>
    </row>
    <row r="213" spans="1:68" x14ac:dyDescent="0.25">
      <c r="A213">
        <v>24</v>
      </c>
      <c r="B213">
        <v>180</v>
      </c>
      <c r="C213">
        <f t="shared" si="147"/>
        <v>2.9999999999999997E-4</v>
      </c>
      <c r="D213">
        <v>0</v>
      </c>
      <c r="E213">
        <f t="shared" ref="E213" si="152">C213*D213*100</f>
        <v>0</v>
      </c>
      <c r="F213" s="29">
        <v>499996.8</v>
      </c>
      <c r="G213">
        <f t="shared" ref="G213" si="153">$E$12*F213</f>
        <v>3599976.96</v>
      </c>
      <c r="H213">
        <f t="shared" ref="H213" si="154">G213*100/$E$15</f>
        <v>5142824.2285714289</v>
      </c>
      <c r="I213">
        <f t="shared" ref="I213" si="155">100*H213/$E$14</f>
        <v>42.856868571428571</v>
      </c>
      <c r="J213">
        <f t="shared" ref="J213" si="156">IF(I213&gt;=75,FORECAST(I213,$X$5:$X$7,$W$5:$W$7),FORECAST(I213,$X$2:$X$5,$W$2:$W$5))</f>
        <v>173.24143137466308</v>
      </c>
      <c r="K213">
        <f t="shared" ref="K213" si="157">H213*J213/1000</f>
        <v>890950.2306660118</v>
      </c>
      <c r="L213">
        <f t="shared" ref="L213" si="158">E213/100*K213</f>
        <v>0</v>
      </c>
      <c r="M213" s="7">
        <v>448799.52400582901</v>
      </c>
      <c r="N213">
        <f t="shared" ref="N213" si="159">$F$12*M213</f>
        <v>3231356.5728419689</v>
      </c>
      <c r="O213">
        <f t="shared" ref="O213" si="160">N213*100/$F$15</f>
        <v>4616223.6754885269</v>
      </c>
      <c r="P213">
        <f t="shared" ref="P213" si="161">100*O213/$F$14</f>
        <v>38.468530629071054</v>
      </c>
      <c r="Q213">
        <f t="shared" ref="Q213" si="162">IF(P213&gt;=75,FORECAST(P213,$X$5:$X$7,$W$5:$W$7),FORECAST(P213,$X$2:$X$5,$W$2:$W$5))</f>
        <v>176.30498805140323</v>
      </c>
      <c r="R213">
        <f t="shared" ref="R213" si="163">O213*Q213/1000</f>
        <v>813863.2599496094</v>
      </c>
      <c r="S213">
        <f t="shared" ref="S213" si="164">E213/100*R213</f>
        <v>0</v>
      </c>
      <c r="T213" s="29">
        <v>423352.70107863698</v>
      </c>
      <c r="U213">
        <f t="shared" si="148"/>
        <v>3048139.4477661862</v>
      </c>
      <c r="V213">
        <f t="shared" si="149"/>
        <v>4354484.9253802653</v>
      </c>
      <c r="W213">
        <f t="shared" si="150"/>
        <v>36.287374378168877</v>
      </c>
      <c r="X213">
        <f t="shared" ref="X213" si="165">IF(W213&gt;=75,FORECAST(W213,$X$5:$X$7,$W$5:$W$7),FORECAST(W213,$X$2:$X$5,$W$2:$W$5))</f>
        <v>177.82768203788211</v>
      </c>
      <c r="Y213">
        <f t="shared" ref="Y213" si="166">V213*X213/1000</f>
        <v>774347.96074927261</v>
      </c>
      <c r="Z213">
        <f t="shared" ref="Z213" si="167">E213/100*Y213</f>
        <v>0</v>
      </c>
      <c r="AA213" s="29">
        <v>422896.84761599998</v>
      </c>
      <c r="AB213">
        <f t="shared" si="151"/>
        <v>3044857.3028352</v>
      </c>
      <c r="AC213">
        <f t="shared" ref="AC213" si="168">AB213*100/$H$15</f>
        <v>4349796.1469074283</v>
      </c>
      <c r="AD213">
        <f t="shared" ref="AD213" si="169">100*AC213/$H$14</f>
        <v>36.24830122422857</v>
      </c>
      <c r="AE213">
        <f t="shared" ref="AE213" si="170">IF(AD213&gt;=75,FORECAST(AD213,$X$5:$X$7,$W$5:$W$7),FORECAST(AD213,$X$2:$X$5,$W$2:$W$5))</f>
        <v>177.85495952270836</v>
      </c>
      <c r="AF213">
        <f t="shared" ref="AF213" si="171">AC213*AE213/1000</f>
        <v>773632.81764025346</v>
      </c>
      <c r="AG213">
        <f t="shared" ref="AG213" si="172">E213/100*AF213</f>
        <v>0</v>
      </c>
      <c r="AH213" s="29">
        <v>384346.87142400001</v>
      </c>
      <c r="AI213">
        <f t="shared" ref="AI213" si="173">$I$12*AH213</f>
        <v>2767297.4742528</v>
      </c>
      <c r="AJ213">
        <f t="shared" ref="AJ213" si="174">AI213*100/$I$15</f>
        <v>3953282.1060754284</v>
      </c>
      <c r="AK213">
        <f t="shared" ref="AK213" si="175">100*AJ213/$I$14</f>
        <v>32.944017550628573</v>
      </c>
      <c r="AL213">
        <f t="shared" ref="AL213" si="176">IF(AK213&gt;=75,FORECAST(AK213,$X$5:$X$7,$W$5:$W$7),FORECAST(AK213,$X$2:$X$5,$W$2:$W$5))</f>
        <v>180.16172359673101</v>
      </c>
      <c r="AM213">
        <f t="shared" ref="AM213" si="177">AJ213*AL213/1000</f>
        <v>712230.11809466395</v>
      </c>
      <c r="AN213">
        <f t="shared" ref="AN213" si="178">E213/100*AM213</f>
        <v>0</v>
      </c>
      <c r="AO213" s="29">
        <v>78462.150874365499</v>
      </c>
      <c r="AP213">
        <f t="shared" ref="AP213" si="179">$J$12*AO213</f>
        <v>564927.48629543162</v>
      </c>
      <c r="AQ213">
        <f t="shared" ref="AQ213" si="180">AP213*100/$J$15</f>
        <v>807039.2661363309</v>
      </c>
      <c r="AR213">
        <f t="shared" ref="AR213" si="181">100*AQ213/$J$14</f>
        <v>6.7253272178027581</v>
      </c>
      <c r="AS213">
        <f t="shared" ref="AS213" si="182">IF(AR213&gt;=75,FORECAST(AR213,$X$5:$X$7,$W$5:$W$7),FORECAST(AR213,$X$2:$X$5,$W$2:$W$5))</f>
        <v>198.46533760266601</v>
      </c>
      <c r="AT213">
        <f t="shared" ref="AT213" si="183">AQ213*AS213/1000</f>
        <v>160169.32041235475</v>
      </c>
      <c r="AU213">
        <f t="shared" ref="AU213" si="184">E213/100*AT213</f>
        <v>0</v>
      </c>
      <c r="AV213" s="29">
        <v>0</v>
      </c>
      <c r="AW213">
        <f t="shared" ref="AW213" si="185">$K$12*AV213</f>
        <v>0</v>
      </c>
      <c r="AX213">
        <f t="shared" ref="AX213" si="186">AW213*100/$K$15</f>
        <v>0</v>
      </c>
      <c r="AY213">
        <f t="shared" ref="AY213" si="187">100*AX213/$K$14</f>
        <v>0</v>
      </c>
      <c r="AZ213">
        <f t="shared" ref="AZ213" si="188">IF(AY213&gt;=75,FORECAST(AY213,$X$5:$X$7,$W$5:$W$7),FORECAST(AY213,$X$2:$X$5,$W$2:$W$5))</f>
        <v>203.16037735849056</v>
      </c>
      <c r="BA213">
        <f t="shared" ref="BA213" si="189">AX213*AZ213/1000</f>
        <v>0</v>
      </c>
      <c r="BB213">
        <f t="shared" ref="BB213" si="190">E213/100*BA213</f>
        <v>0</v>
      </c>
      <c r="BC213" s="29">
        <v>457433.58881354099</v>
      </c>
      <c r="BD213">
        <f t="shared" ref="BD213" si="191">$L$12*BC213</f>
        <v>3293521.8394574951</v>
      </c>
      <c r="BE213">
        <f t="shared" ref="BE213" si="192">BD213*100/$L$15</f>
        <v>4705031.1992249936</v>
      </c>
      <c r="BF213">
        <f t="shared" ref="BF213" si="193">100*BE213/$L$14</f>
        <v>39.208593326874947</v>
      </c>
      <c r="BG213">
        <f t="shared" ref="BG213" si="194">IF(BF213&gt;=75,FORECAST(BF213,$X$5:$X$7,$W$5:$W$7),FORECAST(BF213,$X$2:$X$5,$W$2:$W$5))</f>
        <v>175.78834050765334</v>
      </c>
      <c r="BH213">
        <f t="shared" ref="BH213" si="195">BE213*BG213/1000</f>
        <v>827089.62654849573</v>
      </c>
      <c r="BI213">
        <f t="shared" ref="BI213" si="196">E213/100*BH213</f>
        <v>0</v>
      </c>
      <c r="BJ213" s="29">
        <v>435897.57451671601</v>
      </c>
      <c r="BK213">
        <f t="shared" ref="BK213" si="197">$M$12*BJ213</f>
        <v>3138462.5365203554</v>
      </c>
      <c r="BL213">
        <f t="shared" ref="BL213" si="198">BK213*100/$M$15</f>
        <v>4483517.9093147935</v>
      </c>
      <c r="BM213">
        <f t="shared" ref="BM213" si="199">100*BL213/$M$14</f>
        <v>37.362649244289948</v>
      </c>
      <c r="BN213">
        <f t="shared" ref="BN213" si="200">IF(BM213&gt;=75,FORECAST(BM213,$X$5:$X$7,$W$5:$W$7),FORECAST(BM213,$X$2:$X$5,$W$2:$W$5))</f>
        <v>177.07701845209948</v>
      </c>
      <c r="BO213">
        <f t="shared" ref="BO213" si="201">BL213*BN213/1000</f>
        <v>793927.9835580542</v>
      </c>
      <c r="BP213">
        <f t="shared" ref="BP213" si="202">E213/100*BO213</f>
        <v>0</v>
      </c>
    </row>
    <row r="214" spans="1:68" ht="90" x14ac:dyDescent="0.25">
      <c r="E214" s="4">
        <f>SUM(E84:E213)</f>
        <v>100.00999999999988</v>
      </c>
      <c r="K214" s="2" t="s">
        <v>112</v>
      </c>
      <c r="L214" s="1">
        <f>SUM(L84:L213)</f>
        <v>891039.32568907866</v>
      </c>
      <c r="R214" s="52" t="s">
        <v>112</v>
      </c>
      <c r="S214" s="51">
        <f>SUM(S84:S213)</f>
        <v>875012.64220059616</v>
      </c>
      <c r="T214" s="53"/>
      <c r="U214" s="53"/>
      <c r="V214" s="53"/>
      <c r="W214" s="53"/>
      <c r="X214" s="53"/>
      <c r="Y214" s="52" t="s">
        <v>112</v>
      </c>
      <c r="Z214" s="51">
        <f>SUM(Z84:Z213)</f>
        <v>866780.03560321801</v>
      </c>
      <c r="AA214" s="53"/>
      <c r="AB214" s="53"/>
      <c r="AC214" s="53"/>
      <c r="AD214" s="53"/>
      <c r="AE214" s="53"/>
      <c r="AF214" s="52" t="s">
        <v>112</v>
      </c>
      <c r="AG214" s="51">
        <f>SUM(AG84:AG213)</f>
        <v>866771.38341261249</v>
      </c>
      <c r="AH214" s="53"/>
      <c r="AI214" s="53"/>
      <c r="AJ214" s="53"/>
      <c r="AK214" s="53"/>
      <c r="AL214" s="53"/>
      <c r="AM214" s="52" t="s">
        <v>112</v>
      </c>
      <c r="AN214" s="51">
        <f>SUM(AN84:AN213)</f>
        <v>854137.40057672444</v>
      </c>
      <c r="AO214" s="53"/>
      <c r="AP214" s="53"/>
      <c r="AQ214" s="53"/>
      <c r="AR214" s="53"/>
      <c r="AS214" s="53"/>
      <c r="AT214" s="52" t="s">
        <v>112</v>
      </c>
      <c r="AU214" s="51">
        <f>SUM(AU84:AU213)</f>
        <v>743403.98026832833</v>
      </c>
      <c r="AV214" s="53"/>
      <c r="AW214" s="53"/>
      <c r="AX214" s="53"/>
      <c r="AY214" s="53"/>
      <c r="AZ214" s="53"/>
      <c r="BA214" s="52" t="s">
        <v>112</v>
      </c>
      <c r="BB214" s="51">
        <f>SUM(BB84:BB213)</f>
        <v>593000.47157066583</v>
      </c>
      <c r="BC214" s="53"/>
      <c r="BD214" s="53"/>
      <c r="BE214" s="53"/>
      <c r="BF214" s="53"/>
      <c r="BG214" s="53"/>
      <c r="BH214" s="52" t="s">
        <v>112</v>
      </c>
      <c r="BI214" s="51">
        <f>SUM(BI84:BI213)</f>
        <v>785037.76527627534</v>
      </c>
      <c r="BJ214" s="53"/>
      <c r="BK214" s="53"/>
      <c r="BL214" s="53"/>
      <c r="BM214" s="53"/>
      <c r="BN214" s="53"/>
      <c r="BO214" s="52" t="s">
        <v>112</v>
      </c>
      <c r="BP214" s="51">
        <f>SUM(BP84:BP213)</f>
        <v>729820.84715466877</v>
      </c>
    </row>
    <row r="218" spans="1:68" ht="15.75" thickBot="1" x14ac:dyDescent="0.3"/>
    <row r="219" spans="1:68" x14ac:dyDescent="0.25">
      <c r="C219" s="64" t="s">
        <v>14</v>
      </c>
      <c r="D219" s="65"/>
      <c r="E219" s="66"/>
      <c r="F219" s="64" t="s">
        <v>15</v>
      </c>
      <c r="G219" s="65"/>
      <c r="H219" s="66"/>
      <c r="I219" s="64" t="s">
        <v>123</v>
      </c>
      <c r="J219" s="65"/>
      <c r="K219" s="66"/>
      <c r="L219" s="64" t="s">
        <v>161</v>
      </c>
      <c r="M219" s="65"/>
      <c r="N219" s="66"/>
      <c r="O219" s="64" t="s">
        <v>162</v>
      </c>
      <c r="P219" s="65"/>
      <c r="Q219" s="66"/>
      <c r="R219" s="64" t="s">
        <v>163</v>
      </c>
      <c r="S219" s="65"/>
      <c r="T219" s="66"/>
      <c r="U219" s="64" t="s">
        <v>164</v>
      </c>
      <c r="V219" s="65"/>
      <c r="W219" s="66"/>
      <c r="X219" s="64" t="s">
        <v>165</v>
      </c>
      <c r="Y219" s="65"/>
      <c r="Z219" s="66"/>
      <c r="AA219" s="64" t="s">
        <v>166</v>
      </c>
      <c r="AB219" s="65"/>
      <c r="AC219" s="66"/>
    </row>
    <row r="220" spans="1:68" x14ac:dyDescent="0.25">
      <c r="B220" t="s">
        <v>4</v>
      </c>
      <c r="C220" s="12" t="s">
        <v>5</v>
      </c>
      <c r="D220" s="13" t="s">
        <v>6</v>
      </c>
      <c r="E220" s="14" t="s">
        <v>131</v>
      </c>
      <c r="F220" s="12" t="s">
        <v>5</v>
      </c>
      <c r="G220" s="13" t="s">
        <v>6</v>
      </c>
      <c r="H220" s="14" t="s">
        <v>132</v>
      </c>
      <c r="I220" s="12" t="s">
        <v>5</v>
      </c>
      <c r="J220" s="13" t="s">
        <v>6</v>
      </c>
      <c r="K220" s="14" t="s">
        <v>133</v>
      </c>
      <c r="L220" s="12" t="s">
        <v>5</v>
      </c>
      <c r="M220" s="13" t="s">
        <v>6</v>
      </c>
      <c r="N220" s="14" t="s">
        <v>133</v>
      </c>
      <c r="O220" s="12" t="s">
        <v>5</v>
      </c>
      <c r="P220" s="13" t="s">
        <v>6</v>
      </c>
      <c r="Q220" s="14" t="s">
        <v>133</v>
      </c>
      <c r="R220" s="12" t="s">
        <v>5</v>
      </c>
      <c r="S220" s="13" t="s">
        <v>6</v>
      </c>
      <c r="T220" s="14" t="s">
        <v>133</v>
      </c>
      <c r="U220" s="12" t="s">
        <v>5</v>
      </c>
      <c r="V220" s="13" t="s">
        <v>6</v>
      </c>
      <c r="W220" s="14" t="s">
        <v>133</v>
      </c>
      <c r="X220" s="12" t="s">
        <v>5</v>
      </c>
      <c r="Y220" s="13" t="s">
        <v>6</v>
      </c>
      <c r="Z220" s="14" t="s">
        <v>133</v>
      </c>
      <c r="AA220" s="12" t="s">
        <v>5</v>
      </c>
      <c r="AB220" s="13" t="s">
        <v>6</v>
      </c>
      <c r="AC220" s="14" t="s">
        <v>133</v>
      </c>
    </row>
    <row r="221" spans="1:68" x14ac:dyDescent="0.25">
      <c r="B221">
        <v>1</v>
      </c>
      <c r="C221" s="58">
        <f t="shared" ref="C221:C245" si="203">$E$62/(1+$E$61/100)^B221</f>
        <v>6345901.2331751762</v>
      </c>
      <c r="D221" s="17">
        <f>SUM($C$221:C221)</f>
        <v>6345901.2331751762</v>
      </c>
      <c r="E221" s="18">
        <f>(D221+$E$46)/10^6</f>
        <v>6.3459012331751765</v>
      </c>
      <c r="F221" s="58">
        <f t="shared" ref="F221:F245" si="204">$F$62/(1+$F$61/100)^B221</f>
        <v>6280828.2155915024</v>
      </c>
      <c r="G221" s="17">
        <f>SUM($F$221:F221)</f>
        <v>6280828.2155915024</v>
      </c>
      <c r="H221" s="18">
        <f>(G221+$F$46)/10^6</f>
        <v>7.7808282155915025</v>
      </c>
      <c r="I221" s="58">
        <f t="shared" ref="I221:I245" si="205">$G$62/(1+$G$61/100)^B221</f>
        <v>6232174.1829233645</v>
      </c>
      <c r="J221" s="17">
        <f>SUM($I$221:I221)</f>
        <v>6232174.1829233645</v>
      </c>
      <c r="K221" s="18">
        <f>(J221+$G$46)/10^6</f>
        <v>8.2321741829233641</v>
      </c>
      <c r="L221" s="58">
        <f>$H$62/(1+$H$61/100)^B221</f>
        <v>6256384.6902891155</v>
      </c>
      <c r="M221" s="17">
        <f>SUM($L$221:L221)</f>
        <v>6256384.6902891155</v>
      </c>
      <c r="N221" s="18">
        <f>(M221+$H$46)/10^6</f>
        <v>8.5063846902891154</v>
      </c>
      <c r="O221" s="58">
        <f>$I$62/(1+$I$61/100)^B221</f>
        <v>6181382.6961129932</v>
      </c>
      <c r="P221" s="17">
        <f>SUM($O$221:O221)</f>
        <v>6181382.6961129932</v>
      </c>
      <c r="Q221" s="18">
        <f>(P221+$I$46)/10^6</f>
        <v>9.1813826961129941</v>
      </c>
      <c r="R221" s="58">
        <f>$J$62/(1+$J$61/100)^B221</f>
        <v>5401223.3366148993</v>
      </c>
      <c r="S221" s="17">
        <f>SUM($R$221:R221)</f>
        <v>5401223.3366148993</v>
      </c>
      <c r="T221" s="18">
        <f>(S221+$J$46)/10^6</f>
        <v>7.1512233366148994</v>
      </c>
      <c r="U221" s="58">
        <f>$K$62/(1+$K$61/100)^B221</f>
        <v>4417503.8420979632</v>
      </c>
      <c r="V221" s="17">
        <f>SUM($U$221:U221)</f>
        <v>4417503.8420979632</v>
      </c>
      <c r="W221" s="18">
        <f>(V221+$K$46)/10^6</f>
        <v>7.9175038420979629</v>
      </c>
      <c r="X221" s="58">
        <f>$L$62/(1+$L$61/100)^B221</f>
        <v>5672102.6098983539</v>
      </c>
      <c r="Y221" s="17">
        <f>SUM($X$221:X221)</f>
        <v>5672102.6098983539</v>
      </c>
      <c r="Z221" s="18">
        <f>(Y221+$L$46)/10^6</f>
        <v>7.6721026098983538</v>
      </c>
      <c r="AA221" s="58">
        <f>$M$62/(1+$M$61/100)^B221</f>
        <v>5319492.606016486</v>
      </c>
      <c r="AB221" s="17">
        <f>SUM($AA$221:AA221)</f>
        <v>5319492.606016486</v>
      </c>
      <c r="AC221" s="18">
        <f>(AB221+$M$46)/10^6</f>
        <v>7.8194926060164862</v>
      </c>
    </row>
    <row r="222" spans="1:68" x14ac:dyDescent="0.25">
      <c r="B222">
        <v>2</v>
      </c>
      <c r="C222" s="58">
        <f t="shared" si="203"/>
        <v>6161069.1584225018</v>
      </c>
      <c r="D222" s="17">
        <f>SUM($C$221:C222)</f>
        <v>12506970.391597677</v>
      </c>
      <c r="E222" s="18">
        <f t="shared" ref="E222:E245" si="206">(D222+$E$46)/10^6</f>
        <v>12.506970391597678</v>
      </c>
      <c r="F222" s="58">
        <f t="shared" si="204"/>
        <v>6097891.4714480611</v>
      </c>
      <c r="G222" s="17">
        <f>SUM($F$221:F222)</f>
        <v>12378719.687039563</v>
      </c>
      <c r="H222" s="18">
        <f t="shared" ref="H222:H245" si="207">(G222+$F$46)/10^6</f>
        <v>13.878719687039563</v>
      </c>
      <c r="I222" s="58">
        <f t="shared" si="205"/>
        <v>6050654.5465275384</v>
      </c>
      <c r="J222" s="17">
        <f>SUM($I$221:I222)</f>
        <v>12282828.729450904</v>
      </c>
      <c r="K222" s="18">
        <f t="shared" ref="K222:K245" si="208">(J222+$G$46)/10^6</f>
        <v>14.282828729450904</v>
      </c>
      <c r="L222" s="58">
        <f t="shared" ref="L222:L245" si="209">$H$62/(1+$H$61/100)^B222</f>
        <v>6074159.8934845785</v>
      </c>
      <c r="M222" s="17">
        <f>SUM($L$221:L222)</f>
        <v>12330544.583773695</v>
      </c>
      <c r="N222" s="18">
        <f t="shared" ref="N222:N245" si="210">(M222+$H$46)/10^6</f>
        <v>14.580544583773696</v>
      </c>
      <c r="O222" s="58">
        <f t="shared" ref="O222:O245" si="211">$I$62/(1+$I$61/100)^B222</f>
        <v>6001342.4234106736</v>
      </c>
      <c r="P222" s="17">
        <f>SUM($O$221:O222)</f>
        <v>12182725.119523667</v>
      </c>
      <c r="Q222" s="18">
        <f t="shared" ref="Q222:Q245" si="212">(P222+$I$46)/10^6</f>
        <v>15.182725119523667</v>
      </c>
      <c r="R222" s="58">
        <f t="shared" ref="R222:R245" si="213">$J$62/(1+$J$61/100)^B222</f>
        <v>5243906.1520533012</v>
      </c>
      <c r="S222" s="17">
        <f>SUM($R$221:R222)</f>
        <v>10645129.4886682</v>
      </c>
      <c r="T222" s="18">
        <f t="shared" ref="T222:T245" si="214">(S222+$J$46)/10^6</f>
        <v>12.3951294886682</v>
      </c>
      <c r="U222" s="58">
        <f t="shared" ref="U222:U245" si="215">$K$62/(1+$K$61/100)^B222</f>
        <v>4288838.6816485077</v>
      </c>
      <c r="V222" s="17">
        <f>SUM($U$221:U222)</f>
        <v>8706342.5237464719</v>
      </c>
      <c r="W222" s="18">
        <f t="shared" ref="W222:W245" si="216">(V222+$K$46)/10^6</f>
        <v>12.206342523746471</v>
      </c>
      <c r="X222" s="58">
        <f t="shared" ref="X222:X244" si="217">$L$62/(1+$L$61/100)^B222</f>
        <v>5506895.7377653932</v>
      </c>
      <c r="Y222" s="17">
        <f>SUM($X$221:X222)</f>
        <v>11178998.347663747</v>
      </c>
      <c r="Z222" s="18">
        <f t="shared" ref="Z222:Z245" si="218">(Y222+$L$46)/10^6</f>
        <v>13.178998347663747</v>
      </c>
      <c r="AA222" s="58">
        <f t="shared" ref="AA222:AA245" si="219">$M$62/(1+$M$61/100)^B222</f>
        <v>5164555.928171346</v>
      </c>
      <c r="AB222" s="17">
        <f>SUM($AA$221:AA222)</f>
        <v>10484048.534187831</v>
      </c>
      <c r="AC222" s="18">
        <f t="shared" ref="AC222:AC245" si="220">(AB222+$M$46)/10^6</f>
        <v>12.984048534187831</v>
      </c>
    </row>
    <row r="223" spans="1:68" x14ac:dyDescent="0.25">
      <c r="B223">
        <v>3</v>
      </c>
      <c r="C223" s="58">
        <f t="shared" si="203"/>
        <v>5981620.5421577683</v>
      </c>
      <c r="D223" s="17">
        <f>SUM($C$221:C223)</f>
        <v>18488590.933755446</v>
      </c>
      <c r="E223" s="18">
        <f t="shared" si="206"/>
        <v>18.488590933755447</v>
      </c>
      <c r="F223" s="58">
        <f t="shared" si="204"/>
        <v>5920282.9819884086</v>
      </c>
      <c r="G223" s="17">
        <f>SUM($F$221:F223)</f>
        <v>18299002.669027973</v>
      </c>
      <c r="H223" s="18">
        <f t="shared" si="207"/>
        <v>19.799002669027974</v>
      </c>
      <c r="I223" s="58">
        <f t="shared" si="205"/>
        <v>5874421.8898325609</v>
      </c>
      <c r="J223" s="17">
        <f>SUM($I$221:I223)</f>
        <v>18157250.619283464</v>
      </c>
      <c r="K223" s="18">
        <f t="shared" si="208"/>
        <v>20.157250619283463</v>
      </c>
      <c r="L223" s="58">
        <f t="shared" si="209"/>
        <v>5897242.6150335707</v>
      </c>
      <c r="M223" s="17">
        <f>SUM($L$221:L223)</f>
        <v>18227787.198807266</v>
      </c>
      <c r="N223" s="18">
        <f t="shared" si="210"/>
        <v>20.477787198807267</v>
      </c>
      <c r="O223" s="58">
        <f t="shared" si="211"/>
        <v>5826546.0421462841</v>
      </c>
      <c r="P223" s="17">
        <f>SUM($O$221:O223)</f>
        <v>18009271.161669951</v>
      </c>
      <c r="Q223" s="18">
        <f t="shared" si="212"/>
        <v>21.00927116166995</v>
      </c>
      <c r="R223" s="58">
        <f t="shared" si="213"/>
        <v>5091171.0214109719</v>
      </c>
      <c r="S223" s="17">
        <f>SUM($R$221:R223)</f>
        <v>15736300.510079172</v>
      </c>
      <c r="T223" s="18">
        <f t="shared" si="214"/>
        <v>17.486300510079172</v>
      </c>
      <c r="U223" s="58">
        <f t="shared" si="215"/>
        <v>4163921.0501441821</v>
      </c>
      <c r="V223" s="17">
        <f>SUM($U$221:U223)</f>
        <v>12870263.573890654</v>
      </c>
      <c r="W223" s="18">
        <f t="shared" si="216"/>
        <v>16.370263573890654</v>
      </c>
      <c r="X223" s="58">
        <f t="shared" si="217"/>
        <v>5346500.7162770797</v>
      </c>
      <c r="Y223" s="17">
        <f>SUM($X$221:X223)</f>
        <v>16525499.063940827</v>
      </c>
      <c r="Z223" s="18">
        <f t="shared" si="218"/>
        <v>18.525499063940828</v>
      </c>
      <c r="AA223" s="58">
        <f t="shared" si="219"/>
        <v>5014131.9690983938</v>
      </c>
      <c r="AB223" s="17">
        <f>SUM($AA$221:AA223)</f>
        <v>15498180.503286224</v>
      </c>
      <c r="AC223" s="18">
        <f t="shared" si="220"/>
        <v>17.998180503286225</v>
      </c>
    </row>
    <row r="224" spans="1:68" x14ac:dyDescent="0.25">
      <c r="B224">
        <v>4</v>
      </c>
      <c r="C224" s="58">
        <f t="shared" si="203"/>
        <v>5807398.5846191933</v>
      </c>
      <c r="D224" s="17">
        <f>SUM($C$221:C224)</f>
        <v>24295989.51837464</v>
      </c>
      <c r="E224" s="18">
        <f t="shared" si="206"/>
        <v>24.29598951837464</v>
      </c>
      <c r="F224" s="58">
        <f t="shared" si="204"/>
        <v>5747847.5553285526</v>
      </c>
      <c r="G224" s="17">
        <f>SUM($F$221:F224)</f>
        <v>24046850.224356525</v>
      </c>
      <c r="H224" s="18">
        <f t="shared" si="207"/>
        <v>25.546850224356525</v>
      </c>
      <c r="I224" s="58">
        <f t="shared" si="205"/>
        <v>5703322.2231384097</v>
      </c>
      <c r="J224" s="17">
        <f>SUM($I$221:I224)</f>
        <v>23860572.842421874</v>
      </c>
      <c r="K224" s="18">
        <f t="shared" si="208"/>
        <v>25.860572842421874</v>
      </c>
      <c r="L224" s="58">
        <f t="shared" si="209"/>
        <v>5725478.2670228845</v>
      </c>
      <c r="M224" s="17">
        <f>SUM($L$221:L224)</f>
        <v>23953265.465830151</v>
      </c>
      <c r="N224" s="18">
        <f t="shared" si="210"/>
        <v>26.20326546583015</v>
      </c>
      <c r="O224" s="58">
        <f t="shared" si="211"/>
        <v>5656840.8176177526</v>
      </c>
      <c r="P224" s="17">
        <f>SUM($O$221:O224)</f>
        <v>23666111.979287703</v>
      </c>
      <c r="Q224" s="18">
        <f t="shared" si="212"/>
        <v>26.666111979287702</v>
      </c>
      <c r="R224" s="58">
        <f t="shared" si="213"/>
        <v>4942884.4868067689</v>
      </c>
      <c r="S224" s="17">
        <f>SUM($R$221:R224)</f>
        <v>20679184.99688594</v>
      </c>
      <c r="T224" s="18">
        <f t="shared" si="214"/>
        <v>22.42918499688594</v>
      </c>
      <c r="U224" s="58">
        <f t="shared" si="215"/>
        <v>4042641.7962564877</v>
      </c>
      <c r="V224" s="17">
        <f>SUM($U$221:U224)</f>
        <v>16912905.370147143</v>
      </c>
      <c r="W224" s="18">
        <f t="shared" si="216"/>
        <v>20.412905370147143</v>
      </c>
      <c r="X224" s="58">
        <f t="shared" si="217"/>
        <v>5190777.3944437671</v>
      </c>
      <c r="Y224" s="17">
        <f>SUM($X$221:X224)</f>
        <v>21716276.458384596</v>
      </c>
      <c r="Z224" s="18">
        <f t="shared" si="218"/>
        <v>23.716276458384595</v>
      </c>
      <c r="AA224" s="58">
        <f t="shared" si="219"/>
        <v>4868089.2903867904</v>
      </c>
      <c r="AB224" s="17">
        <f>SUM($AA$221:AA224)</f>
        <v>20366269.793673016</v>
      </c>
      <c r="AC224" s="18">
        <f t="shared" si="220"/>
        <v>22.866269793673016</v>
      </c>
    </row>
    <row r="225" spans="2:29" x14ac:dyDescent="0.25">
      <c r="B225">
        <v>5</v>
      </c>
      <c r="C225" s="58">
        <f t="shared" si="203"/>
        <v>5638251.0530283432</v>
      </c>
      <c r="D225" s="17">
        <f>SUM($C$221:C225)</f>
        <v>29934240.571402982</v>
      </c>
      <c r="E225" s="18">
        <f t="shared" si="206"/>
        <v>29.934240571402981</v>
      </c>
      <c r="F225" s="58">
        <f t="shared" si="204"/>
        <v>5580434.5197364595</v>
      </c>
      <c r="G225" s="17">
        <f>SUM($F$221:F225)</f>
        <v>29627284.744092986</v>
      </c>
      <c r="H225" s="18">
        <f t="shared" si="207"/>
        <v>31.127284744092986</v>
      </c>
      <c r="I225" s="58">
        <f t="shared" si="205"/>
        <v>5537206.0418819515</v>
      </c>
      <c r="J225" s="17">
        <f>SUM($I$221:I225)</f>
        <v>29397778.884303827</v>
      </c>
      <c r="K225" s="18">
        <f t="shared" si="208"/>
        <v>31.397778884303825</v>
      </c>
      <c r="L225" s="58">
        <f t="shared" si="209"/>
        <v>5558716.7640998885</v>
      </c>
      <c r="M225" s="17">
        <f>SUM($L$221:L225)</f>
        <v>29511982.229930039</v>
      </c>
      <c r="N225" s="18">
        <f t="shared" si="210"/>
        <v>31.761982229930041</v>
      </c>
      <c r="O225" s="58">
        <f t="shared" si="211"/>
        <v>5492078.4637065558</v>
      </c>
      <c r="P225" s="17">
        <f>SUM($O$221:O225)</f>
        <v>29158190.442994259</v>
      </c>
      <c r="Q225" s="18">
        <f t="shared" si="212"/>
        <v>32.158190442994261</v>
      </c>
      <c r="R225" s="58">
        <f t="shared" si="213"/>
        <v>4798916.9774823003</v>
      </c>
      <c r="S225" s="17">
        <f>SUM($R$221:R225)</f>
        <v>25478101.974368241</v>
      </c>
      <c r="T225" s="18">
        <f t="shared" si="214"/>
        <v>27.22810197436824</v>
      </c>
      <c r="U225" s="58">
        <f t="shared" si="215"/>
        <v>3924894.9478218332</v>
      </c>
      <c r="V225" s="17">
        <f>SUM($U$221:U225)</f>
        <v>20837800.317968976</v>
      </c>
      <c r="W225" s="18">
        <f t="shared" si="216"/>
        <v>24.337800317968977</v>
      </c>
      <c r="X225" s="58">
        <f t="shared" si="217"/>
        <v>5039589.7033434641</v>
      </c>
      <c r="Y225" s="17">
        <f>SUM($X$221:X225)</f>
        <v>26755866.161728062</v>
      </c>
      <c r="Z225" s="18">
        <f t="shared" si="218"/>
        <v>28.755866161728061</v>
      </c>
      <c r="AA225" s="58">
        <f t="shared" si="219"/>
        <v>4726300.281928923</v>
      </c>
      <c r="AB225" s="17">
        <f>SUM($AA$221:AA225)</f>
        <v>25092570.075601939</v>
      </c>
      <c r="AC225" s="18">
        <f t="shared" si="220"/>
        <v>27.592570075601937</v>
      </c>
    </row>
    <row r="226" spans="2:29" x14ac:dyDescent="0.25">
      <c r="B226">
        <v>6</v>
      </c>
      <c r="C226" s="58">
        <f t="shared" si="203"/>
        <v>5474030.1485712063</v>
      </c>
      <c r="D226" s="17">
        <f>SUM($C$221:C226)</f>
        <v>35408270.71997419</v>
      </c>
      <c r="E226" s="18">
        <f t="shared" si="206"/>
        <v>35.40827071997419</v>
      </c>
      <c r="F226" s="58">
        <f t="shared" si="204"/>
        <v>5417897.5919771446</v>
      </c>
      <c r="G226" s="17">
        <f>SUM($F$221:F226)</f>
        <v>35045182.336070128</v>
      </c>
      <c r="H226" s="18">
        <f t="shared" si="207"/>
        <v>36.545182336070127</v>
      </c>
      <c r="I226" s="58">
        <f t="shared" si="205"/>
        <v>5375928.1960018938</v>
      </c>
      <c r="J226" s="17">
        <f>SUM($I$221:I226)</f>
        <v>34773707.080305718</v>
      </c>
      <c r="K226" s="18">
        <f t="shared" si="208"/>
        <v>36.773707080305719</v>
      </c>
      <c r="L226" s="58">
        <f t="shared" si="209"/>
        <v>5396812.3923299881</v>
      </c>
      <c r="M226" s="17">
        <f>SUM($L$221:L226)</f>
        <v>34908794.622260027</v>
      </c>
      <c r="N226" s="18">
        <f t="shared" si="210"/>
        <v>37.158794622260025</v>
      </c>
      <c r="O226" s="58">
        <f t="shared" si="211"/>
        <v>5332115.0133073358</v>
      </c>
      <c r="P226" s="17">
        <f>SUM($O$221:O226)</f>
        <v>34490305.456301592</v>
      </c>
      <c r="Q226" s="18">
        <f t="shared" si="212"/>
        <v>37.490305456301591</v>
      </c>
      <c r="R226" s="58">
        <f t="shared" si="213"/>
        <v>4659142.6965847574</v>
      </c>
      <c r="S226" s="17">
        <f>SUM($R$221:R226)</f>
        <v>30137244.670952998</v>
      </c>
      <c r="T226" s="18">
        <f t="shared" si="214"/>
        <v>31.887244670952999</v>
      </c>
      <c r="U226" s="58">
        <f t="shared" si="215"/>
        <v>3810577.6192444982</v>
      </c>
      <c r="V226" s="17">
        <f>SUM($U$221:U226)</f>
        <v>24648377.937213473</v>
      </c>
      <c r="W226" s="18">
        <f t="shared" si="216"/>
        <v>28.148377937213471</v>
      </c>
      <c r="X226" s="58">
        <f t="shared" si="217"/>
        <v>4892805.5372266639</v>
      </c>
      <c r="Y226" s="17">
        <f>SUM($X$221:X226)</f>
        <v>31648671.698954724</v>
      </c>
      <c r="Z226" s="18">
        <f t="shared" si="218"/>
        <v>33.648671698954722</v>
      </c>
      <c r="AA226" s="58">
        <f t="shared" si="219"/>
        <v>4588641.0504164305</v>
      </c>
      <c r="AB226" s="17">
        <f>SUM($AA$221:AA226)</f>
        <v>29681211.126018368</v>
      </c>
      <c r="AC226" s="18">
        <f t="shared" si="220"/>
        <v>32.181211126018368</v>
      </c>
    </row>
    <row r="227" spans="2:29" x14ac:dyDescent="0.25">
      <c r="B227">
        <v>7</v>
      </c>
      <c r="C227" s="58">
        <f t="shared" si="203"/>
        <v>5314592.3772535985</v>
      </c>
      <c r="D227" s="17">
        <f>SUM($C$221:C227)</f>
        <v>40722863.097227789</v>
      </c>
      <c r="E227" s="18">
        <f t="shared" si="206"/>
        <v>40.722863097227787</v>
      </c>
      <c r="F227" s="58">
        <f t="shared" si="204"/>
        <v>5260094.7494923733</v>
      </c>
      <c r="G227" s="17">
        <f>SUM($F$221:F227)</f>
        <v>40305277.085562497</v>
      </c>
      <c r="H227" s="18">
        <f t="shared" si="207"/>
        <v>41.805277085562494</v>
      </c>
      <c r="I227" s="58">
        <f t="shared" si="205"/>
        <v>5219347.7631086344</v>
      </c>
      <c r="J227" s="17">
        <f>SUM($I$221:I227)</f>
        <v>39993054.843414351</v>
      </c>
      <c r="K227" s="18">
        <f t="shared" si="208"/>
        <v>41.993054843414349</v>
      </c>
      <c r="L227" s="58">
        <f t="shared" si="209"/>
        <v>5239623.6818737751</v>
      </c>
      <c r="M227" s="17">
        <f>SUM($L$221:L227)</f>
        <v>40148418.304133803</v>
      </c>
      <c r="N227" s="18">
        <f t="shared" si="210"/>
        <v>42.398418304133806</v>
      </c>
      <c r="O227" s="58">
        <f t="shared" si="211"/>
        <v>5176810.6925313938</v>
      </c>
      <c r="P227" s="17">
        <f>SUM($O$221:O227)</f>
        <v>39667116.148832984</v>
      </c>
      <c r="Q227" s="18">
        <f t="shared" si="212"/>
        <v>42.667116148832982</v>
      </c>
      <c r="R227" s="58">
        <f t="shared" si="213"/>
        <v>4523439.5112473369</v>
      </c>
      <c r="S227" s="17">
        <f>SUM($R$221:R227)</f>
        <v>34660684.182200335</v>
      </c>
      <c r="T227" s="18">
        <f t="shared" si="214"/>
        <v>36.410684182200335</v>
      </c>
      <c r="U227" s="58">
        <f t="shared" si="215"/>
        <v>3699589.9215965997</v>
      </c>
      <c r="V227" s="17">
        <f>SUM($U$221:U227)</f>
        <v>28347967.858810075</v>
      </c>
      <c r="W227" s="18">
        <f t="shared" si="216"/>
        <v>31.847967858810076</v>
      </c>
      <c r="X227" s="58">
        <f t="shared" si="217"/>
        <v>4750296.6380841397</v>
      </c>
      <c r="Y227" s="17">
        <f>SUM($X$221:X227)</f>
        <v>36398968.33703886</v>
      </c>
      <c r="Z227" s="18">
        <f t="shared" si="218"/>
        <v>38.398968337038859</v>
      </c>
      <c r="AA227" s="58">
        <f t="shared" si="219"/>
        <v>4454991.3110839128</v>
      </c>
      <c r="AB227" s="17">
        <f>SUM($AA$221:AA227)</f>
        <v>34136202.437102281</v>
      </c>
      <c r="AC227" s="18">
        <f t="shared" si="220"/>
        <v>36.636202437102284</v>
      </c>
    </row>
    <row r="228" spans="2:29" x14ac:dyDescent="0.25">
      <c r="B228">
        <v>8</v>
      </c>
      <c r="C228" s="58">
        <f t="shared" si="203"/>
        <v>5159798.4245180571</v>
      </c>
      <c r="D228" s="17">
        <f>SUM($C$221:C228)</f>
        <v>45882661.521745846</v>
      </c>
      <c r="E228" s="18">
        <f t="shared" si="206"/>
        <v>45.882661521745845</v>
      </c>
      <c r="F228" s="58">
        <f t="shared" si="204"/>
        <v>5106888.1063032756</v>
      </c>
      <c r="G228" s="17">
        <f>SUM($F$221:F228)</f>
        <v>45412165.191865772</v>
      </c>
      <c r="H228" s="18">
        <f t="shared" si="207"/>
        <v>46.912165191865775</v>
      </c>
      <c r="I228" s="58">
        <f t="shared" si="205"/>
        <v>5067327.9253481897</v>
      </c>
      <c r="J228" s="17">
        <f>SUM($I$221:I228)</f>
        <v>45060382.768762544</v>
      </c>
      <c r="K228" s="18">
        <f t="shared" si="208"/>
        <v>47.060382768762544</v>
      </c>
      <c r="L228" s="58">
        <f t="shared" si="209"/>
        <v>5087013.2833725978</v>
      </c>
      <c r="M228" s="17">
        <f>SUM($L$221:L228)</f>
        <v>45235431.587506399</v>
      </c>
      <c r="N228" s="18">
        <f t="shared" si="210"/>
        <v>47.485431587506397</v>
      </c>
      <c r="O228" s="58">
        <f t="shared" si="211"/>
        <v>5026029.7985741692</v>
      </c>
      <c r="P228" s="17">
        <f>SUM($O$221:O228)</f>
        <v>44693145.947407156</v>
      </c>
      <c r="Q228" s="18">
        <f t="shared" si="212"/>
        <v>47.693145947407153</v>
      </c>
      <c r="R228" s="58">
        <f t="shared" si="213"/>
        <v>4391688.8458712017</v>
      </c>
      <c r="S228" s="17">
        <f>SUM($R$221:R228)</f>
        <v>39052373.028071538</v>
      </c>
      <c r="T228" s="18">
        <f t="shared" si="214"/>
        <v>40.802373028071536</v>
      </c>
      <c r="U228" s="58">
        <f t="shared" si="215"/>
        <v>3591834.875336505</v>
      </c>
      <c r="V228" s="17">
        <f>SUM($U$221:U228)</f>
        <v>31939802.73414658</v>
      </c>
      <c r="W228" s="18">
        <f t="shared" si="216"/>
        <v>35.439802734146582</v>
      </c>
      <c r="X228" s="58">
        <f t="shared" si="217"/>
        <v>4611938.4835768351</v>
      </c>
      <c r="Y228" s="17">
        <f>SUM($X$221:X228)</f>
        <v>41010906.820615694</v>
      </c>
      <c r="Z228" s="18">
        <f t="shared" si="218"/>
        <v>43.010906820615695</v>
      </c>
      <c r="AA228" s="58">
        <f t="shared" si="219"/>
        <v>4325234.2826057412</v>
      </c>
      <c r="AB228" s="17">
        <f>SUM($AA$221:AA228)</f>
        <v>38461436.719708025</v>
      </c>
      <c r="AC228" s="18">
        <f t="shared" si="220"/>
        <v>40.961436719708026</v>
      </c>
    </row>
    <row r="229" spans="2:29" x14ac:dyDescent="0.25">
      <c r="B229">
        <v>9</v>
      </c>
      <c r="C229" s="58">
        <f t="shared" si="203"/>
        <v>5009513.0335126761</v>
      </c>
      <c r="D229" s="17">
        <f>SUM($C$221:C229)</f>
        <v>50892174.55525852</v>
      </c>
      <c r="E229" s="18">
        <f t="shared" si="206"/>
        <v>50.892174555258521</v>
      </c>
      <c r="F229" s="58">
        <f t="shared" si="204"/>
        <v>4958143.7925274512</v>
      </c>
      <c r="G229" s="17">
        <f>SUM($F$221:F229)</f>
        <v>50370308.984393224</v>
      </c>
      <c r="H229" s="18">
        <f t="shared" si="207"/>
        <v>51.870308984393226</v>
      </c>
      <c r="I229" s="58">
        <f t="shared" si="205"/>
        <v>4919735.8498526113</v>
      </c>
      <c r="J229" s="17">
        <f>SUM($I$221:I229)</f>
        <v>49980118.618615158</v>
      </c>
      <c r="K229" s="18">
        <f t="shared" si="208"/>
        <v>51.980118618615158</v>
      </c>
      <c r="L229" s="58">
        <f t="shared" si="209"/>
        <v>4938847.8479345609</v>
      </c>
      <c r="M229" s="17">
        <f>SUM($L$221:L229)</f>
        <v>50174279.435440958</v>
      </c>
      <c r="N229" s="18">
        <f t="shared" si="210"/>
        <v>52.424279435440958</v>
      </c>
      <c r="O229" s="58">
        <f t="shared" si="211"/>
        <v>4879640.5811399696</v>
      </c>
      <c r="P229" s="17">
        <f>SUM($O$221:O229)</f>
        <v>49572786.528547123</v>
      </c>
      <c r="Q229" s="18">
        <f t="shared" si="212"/>
        <v>52.57278652854712</v>
      </c>
      <c r="R229" s="58">
        <f t="shared" si="213"/>
        <v>4263775.5785157289</v>
      </c>
      <c r="S229" s="17">
        <f>SUM($R$221:R229)</f>
        <v>43316148.606587268</v>
      </c>
      <c r="T229" s="18">
        <f t="shared" si="214"/>
        <v>45.066148606587269</v>
      </c>
      <c r="U229" s="58">
        <f t="shared" si="215"/>
        <v>3487218.3255694224</v>
      </c>
      <c r="V229" s="17">
        <f>SUM($U$221:U229)</f>
        <v>35427021.059716001</v>
      </c>
      <c r="W229" s="18">
        <f t="shared" si="216"/>
        <v>38.927021059716004</v>
      </c>
      <c r="X229" s="58">
        <f t="shared" si="217"/>
        <v>4477610.1782299364</v>
      </c>
      <c r="Y229" s="17">
        <f>SUM($X$221:X229)</f>
        <v>45488516.998845629</v>
      </c>
      <c r="Z229" s="18">
        <f t="shared" si="218"/>
        <v>47.488516998845633</v>
      </c>
      <c r="AA229" s="58">
        <f t="shared" si="219"/>
        <v>4199256.5850541173</v>
      </c>
      <c r="AB229" s="17">
        <f>SUM($AA$221:AA229)</f>
        <v>42660693.30476214</v>
      </c>
      <c r="AC229" s="18">
        <f t="shared" si="220"/>
        <v>45.160693304762141</v>
      </c>
    </row>
    <row r="230" spans="2:29" x14ac:dyDescent="0.25">
      <c r="B230">
        <v>10</v>
      </c>
      <c r="C230" s="58">
        <f t="shared" si="203"/>
        <v>4863604.8869055109</v>
      </c>
      <c r="D230" s="17">
        <f>SUM($C$221:C230)</f>
        <v>55755779.442164034</v>
      </c>
      <c r="E230" s="18">
        <f t="shared" si="206"/>
        <v>55.755779442164034</v>
      </c>
      <c r="F230" s="58">
        <f t="shared" si="204"/>
        <v>4813731.8374052932</v>
      </c>
      <c r="G230" s="17">
        <f>SUM($F$221:F230)</f>
        <v>55184040.821798518</v>
      </c>
      <c r="H230" s="18">
        <f t="shared" si="207"/>
        <v>56.684040821798519</v>
      </c>
      <c r="I230" s="58">
        <f t="shared" si="205"/>
        <v>4776442.5726724379</v>
      </c>
      <c r="J230" s="17">
        <f>SUM($I$221:I230)</f>
        <v>54756561.191287592</v>
      </c>
      <c r="K230" s="18">
        <f t="shared" si="208"/>
        <v>56.756561191287595</v>
      </c>
      <c r="L230" s="58">
        <f t="shared" si="209"/>
        <v>4794997.9106160784</v>
      </c>
      <c r="M230" s="17">
        <f>SUM($L$221:L230)</f>
        <v>54969277.346057035</v>
      </c>
      <c r="N230" s="18">
        <f t="shared" si="210"/>
        <v>57.219277346057034</v>
      </c>
      <c r="O230" s="58">
        <f t="shared" si="211"/>
        <v>4737515.1273203585</v>
      </c>
      <c r="P230" s="17">
        <f>SUM($O$221:O230)</f>
        <v>54310301.65586748</v>
      </c>
      <c r="Q230" s="18">
        <f t="shared" si="212"/>
        <v>57.310301655867477</v>
      </c>
      <c r="R230" s="58">
        <f t="shared" si="213"/>
        <v>4139587.9403065336</v>
      </c>
      <c r="S230" s="17">
        <f>SUM($R$221:R230)</f>
        <v>47455736.546893805</v>
      </c>
      <c r="T230" s="18">
        <f t="shared" si="214"/>
        <v>49.205736546893803</v>
      </c>
      <c r="U230" s="58">
        <f t="shared" si="215"/>
        <v>3385648.8597761383</v>
      </c>
      <c r="V230" s="17">
        <f>SUM($U$221:U230)</f>
        <v>38812669.91949214</v>
      </c>
      <c r="W230" s="18">
        <f t="shared" si="216"/>
        <v>42.312669919492137</v>
      </c>
      <c r="X230" s="58">
        <f t="shared" si="217"/>
        <v>4347194.3477960546</v>
      </c>
      <c r="Y230" s="17">
        <f>SUM($X$221:X230)</f>
        <v>49835711.346641682</v>
      </c>
      <c r="Z230" s="18">
        <f t="shared" si="218"/>
        <v>51.835711346641681</v>
      </c>
      <c r="AA230" s="58">
        <f t="shared" si="219"/>
        <v>4076948.14082924</v>
      </c>
      <c r="AB230" s="17">
        <f>SUM($AA$221:AA230)</f>
        <v>46737641.445591383</v>
      </c>
      <c r="AC230" s="18">
        <f t="shared" si="220"/>
        <v>49.237641445591386</v>
      </c>
    </row>
    <row r="231" spans="2:29" x14ac:dyDescent="0.25">
      <c r="B231">
        <v>11</v>
      </c>
      <c r="C231" s="58">
        <f t="shared" si="203"/>
        <v>4721946.4921412729</v>
      </c>
      <c r="D231" s="17">
        <f>SUM($C$221:C231)</f>
        <v>60477725.93430531</v>
      </c>
      <c r="E231" s="18">
        <f t="shared" si="206"/>
        <v>60.477725934305312</v>
      </c>
      <c r="F231" s="58">
        <f t="shared" si="204"/>
        <v>4673526.0557332942</v>
      </c>
      <c r="G231" s="17">
        <f>SUM($F$221:F231)</f>
        <v>59857566.877531812</v>
      </c>
      <c r="H231" s="18">
        <f t="shared" si="207"/>
        <v>61.357566877531809</v>
      </c>
      <c r="I231" s="58">
        <f t="shared" si="205"/>
        <v>4637322.8860897459</v>
      </c>
      <c r="J231" s="17">
        <f>SUM($I$221:I231)</f>
        <v>59393884.077377334</v>
      </c>
      <c r="K231" s="18">
        <f t="shared" si="208"/>
        <v>61.393884077377336</v>
      </c>
      <c r="L231" s="58">
        <f t="shared" si="209"/>
        <v>4655337.7772971634</v>
      </c>
      <c r="M231" s="17">
        <f>SUM($L$221:L231)</f>
        <v>59624615.123354197</v>
      </c>
      <c r="N231" s="18">
        <f t="shared" si="210"/>
        <v>61.874615123354197</v>
      </c>
      <c r="O231" s="58">
        <f t="shared" si="211"/>
        <v>4599529.2498255912</v>
      </c>
      <c r="P231" s="17">
        <f>SUM($O$221:O231)</f>
        <v>58909830.905693069</v>
      </c>
      <c r="Q231" s="18">
        <f t="shared" si="212"/>
        <v>61.90983090569307</v>
      </c>
      <c r="R231" s="58">
        <f t="shared" si="213"/>
        <v>4019017.4177733334</v>
      </c>
      <c r="S231" s="17">
        <f>SUM($R$221:R231)</f>
        <v>51474753.964667141</v>
      </c>
      <c r="T231" s="18">
        <f t="shared" si="214"/>
        <v>53.224753964667144</v>
      </c>
      <c r="U231" s="58">
        <f t="shared" si="215"/>
        <v>3287037.7279379983</v>
      </c>
      <c r="V231" s="17">
        <f>SUM($U$221:U231)</f>
        <v>42099707.647430137</v>
      </c>
      <c r="W231" s="18">
        <f t="shared" si="216"/>
        <v>45.599707647430137</v>
      </c>
      <c r="X231" s="58">
        <f t="shared" si="217"/>
        <v>4220577.0366951991</v>
      </c>
      <c r="Y231" s="17">
        <f>SUM($X$221:X231)</f>
        <v>54056288.383336879</v>
      </c>
      <c r="Z231" s="18">
        <f t="shared" si="218"/>
        <v>56.056288383336877</v>
      </c>
      <c r="AA231" s="58">
        <f t="shared" si="219"/>
        <v>3958202.0784749901</v>
      </c>
      <c r="AB231" s="17">
        <f>SUM($AA$221:AA231)</f>
        <v>50695843.524066374</v>
      </c>
      <c r="AC231" s="18">
        <f t="shared" si="220"/>
        <v>53.195843524066376</v>
      </c>
    </row>
    <row r="232" spans="2:29" x14ac:dyDescent="0.25">
      <c r="B232">
        <v>12</v>
      </c>
      <c r="C232" s="58">
        <f t="shared" si="203"/>
        <v>4584414.0700400714</v>
      </c>
      <c r="D232" s="17">
        <f>SUM($C$221:C232)</f>
        <v>65062140.00434538</v>
      </c>
      <c r="E232" s="18">
        <f t="shared" si="206"/>
        <v>65.06214000434538</v>
      </c>
      <c r="F232" s="58">
        <f t="shared" si="204"/>
        <v>4537403.9376051407</v>
      </c>
      <c r="G232" s="17">
        <f>SUM($F$221:F232)</f>
        <v>64394970.815136954</v>
      </c>
      <c r="H232" s="18">
        <f t="shared" si="207"/>
        <v>65.894970815136958</v>
      </c>
      <c r="I232" s="58">
        <f t="shared" si="205"/>
        <v>4502255.2292133458</v>
      </c>
      <c r="J232" s="17">
        <f>SUM($I$221:I232)</f>
        <v>63896139.306590676</v>
      </c>
      <c r="K232" s="18">
        <f t="shared" si="208"/>
        <v>65.896139306590683</v>
      </c>
      <c r="L232" s="58">
        <f t="shared" si="209"/>
        <v>4519745.4148516152</v>
      </c>
      <c r="M232" s="17">
        <f>SUM($L$221:L232)</f>
        <v>64144360.53820581</v>
      </c>
      <c r="N232" s="18">
        <f t="shared" si="210"/>
        <v>66.394360538205817</v>
      </c>
      <c r="O232" s="58">
        <f t="shared" si="211"/>
        <v>4465562.3784714481</v>
      </c>
      <c r="P232" s="17">
        <f>SUM($O$221:O232)</f>
        <v>63375393.284164518</v>
      </c>
      <c r="Q232" s="18">
        <f t="shared" si="212"/>
        <v>66.375393284164517</v>
      </c>
      <c r="R232" s="58">
        <f t="shared" si="213"/>
        <v>3901958.6580323628</v>
      </c>
      <c r="S232" s="17">
        <f>SUM($R$221:R232)</f>
        <v>55376712.622699507</v>
      </c>
      <c r="T232" s="18">
        <f t="shared" si="214"/>
        <v>57.126712622699507</v>
      </c>
      <c r="U232" s="58">
        <f t="shared" si="215"/>
        <v>3191298.7649883484</v>
      </c>
      <c r="V232" s="17">
        <f>SUM($U$221:U232)</f>
        <v>45291006.412418485</v>
      </c>
      <c r="W232" s="18">
        <f t="shared" si="216"/>
        <v>48.791006412418483</v>
      </c>
      <c r="X232" s="58">
        <f t="shared" si="217"/>
        <v>4097647.608441941</v>
      </c>
      <c r="Y232" s="17">
        <f>SUM($X$221:X232)</f>
        <v>58153935.991778821</v>
      </c>
      <c r="Z232" s="18">
        <f t="shared" si="218"/>
        <v>60.153935991778823</v>
      </c>
      <c r="AA232" s="58">
        <f t="shared" si="219"/>
        <v>3842914.6392961075</v>
      </c>
      <c r="AB232" s="17">
        <f>SUM($AA$221:AA232)</f>
        <v>54538758.163362481</v>
      </c>
      <c r="AC232" s="18">
        <f t="shared" si="220"/>
        <v>57.038758163362481</v>
      </c>
    </row>
    <row r="233" spans="2:29" x14ac:dyDescent="0.25">
      <c r="B233">
        <v>13</v>
      </c>
      <c r="C233" s="58">
        <f t="shared" si="203"/>
        <v>4450887.4466408463</v>
      </c>
      <c r="D233" s="17">
        <f>SUM($C$221:C233)</f>
        <v>69513027.450986221</v>
      </c>
      <c r="E233" s="18">
        <f t="shared" si="206"/>
        <v>69.513027450986215</v>
      </c>
      <c r="F233" s="58">
        <f t="shared" si="204"/>
        <v>4405246.5413642144</v>
      </c>
      <c r="G233" s="17">
        <f>SUM($F$221:F233)</f>
        <v>68800217.356501162</v>
      </c>
      <c r="H233" s="18">
        <f t="shared" si="207"/>
        <v>70.300217356501165</v>
      </c>
      <c r="I233" s="58">
        <f t="shared" si="205"/>
        <v>4371121.5817605304</v>
      </c>
      <c r="J233" s="17">
        <f>SUM($I$221:I233)</f>
        <v>68267260.888351202</v>
      </c>
      <c r="K233" s="18">
        <f t="shared" si="208"/>
        <v>70.267260888351203</v>
      </c>
      <c r="L233" s="58">
        <f t="shared" si="209"/>
        <v>4388102.344516132</v>
      </c>
      <c r="M233" s="17">
        <f>SUM($L$221:L233)</f>
        <v>68532462.882721946</v>
      </c>
      <c r="N233" s="18">
        <f t="shared" si="210"/>
        <v>70.782462882721944</v>
      </c>
      <c r="O233" s="58">
        <f t="shared" si="211"/>
        <v>4335497.4548266493</v>
      </c>
      <c r="P233" s="17">
        <f>SUM($O$221:O233)</f>
        <v>67710890.738991171</v>
      </c>
      <c r="Q233" s="18">
        <f t="shared" si="212"/>
        <v>70.710890738991168</v>
      </c>
      <c r="R233" s="58">
        <f t="shared" si="213"/>
        <v>3788309.3767304495</v>
      </c>
      <c r="S233" s="17">
        <f>SUM($R$221:R233)</f>
        <v>59165021.999429956</v>
      </c>
      <c r="T233" s="18">
        <f t="shared" si="214"/>
        <v>60.915021999429953</v>
      </c>
      <c r="U233" s="58">
        <f t="shared" si="215"/>
        <v>3098348.3155226684</v>
      </c>
      <c r="V233" s="17">
        <f>SUM($U$221:U233)</f>
        <v>48389354.727941155</v>
      </c>
      <c r="W233" s="18">
        <f t="shared" si="216"/>
        <v>51.889354727941154</v>
      </c>
      <c r="X233" s="58">
        <f t="shared" si="217"/>
        <v>3978298.6489727586</v>
      </c>
      <c r="Y233" s="17">
        <f>SUM($X$221:X233)</f>
        <v>62132234.640751578</v>
      </c>
      <c r="Z233" s="18">
        <f t="shared" si="218"/>
        <v>64.132234640751577</v>
      </c>
      <c r="AA233" s="58">
        <f t="shared" si="219"/>
        <v>3730985.0866952501</v>
      </c>
      <c r="AB233" s="17">
        <f>SUM($AA$221:AA233)</f>
        <v>58269743.250057727</v>
      </c>
      <c r="AC233" s="18">
        <f t="shared" si="220"/>
        <v>60.769743250057729</v>
      </c>
    </row>
    <row r="234" spans="2:29" x14ac:dyDescent="0.25">
      <c r="B234">
        <v>14</v>
      </c>
      <c r="C234" s="58">
        <f t="shared" si="203"/>
        <v>4321249.9481949955</v>
      </c>
      <c r="D234" s="17">
        <f>SUM($C$221:C234)</f>
        <v>73834277.399181217</v>
      </c>
      <c r="E234" s="18">
        <f t="shared" si="206"/>
        <v>73.834277399181218</v>
      </c>
      <c r="F234" s="58">
        <f t="shared" si="204"/>
        <v>4276938.3896739939</v>
      </c>
      <c r="G234" s="17">
        <f>SUM($F$221:F234)</f>
        <v>73077155.746175155</v>
      </c>
      <c r="H234" s="18">
        <f t="shared" si="207"/>
        <v>74.577155746175151</v>
      </c>
      <c r="I234" s="58">
        <f t="shared" si="205"/>
        <v>4243807.3609325532</v>
      </c>
      <c r="J234" s="17">
        <f>SUM($I$221:I234)</f>
        <v>72511068.249283761</v>
      </c>
      <c r="K234" s="18">
        <f t="shared" si="208"/>
        <v>74.511068249283767</v>
      </c>
      <c r="L234" s="58">
        <f t="shared" si="209"/>
        <v>4260293.5383651759</v>
      </c>
      <c r="M234" s="17">
        <f>SUM($L$221:L234)</f>
        <v>72792756.421087116</v>
      </c>
      <c r="N234" s="18">
        <f t="shared" si="210"/>
        <v>75.04275642108712</v>
      </c>
      <c r="O234" s="58">
        <f t="shared" si="211"/>
        <v>4209220.8299287846</v>
      </c>
      <c r="P234" s="17">
        <f>SUM($O$221:O234)</f>
        <v>71920111.568919957</v>
      </c>
      <c r="Q234" s="18">
        <f t="shared" si="212"/>
        <v>74.92011156891995</v>
      </c>
      <c r="R234" s="58">
        <f t="shared" si="213"/>
        <v>3677970.2686703391</v>
      </c>
      <c r="S234" s="17">
        <f>SUM($R$221:R234)</f>
        <v>62842992.268100291</v>
      </c>
      <c r="T234" s="18">
        <f t="shared" si="214"/>
        <v>64.592992268100289</v>
      </c>
      <c r="U234" s="58">
        <f t="shared" si="215"/>
        <v>3008105.1607016195</v>
      </c>
      <c r="V234" s="17">
        <f>SUM($U$221:U234)</f>
        <v>51397459.888642773</v>
      </c>
      <c r="W234" s="18">
        <f t="shared" si="216"/>
        <v>54.897459888642771</v>
      </c>
      <c r="X234" s="58">
        <f t="shared" si="217"/>
        <v>3862425.8727890854</v>
      </c>
      <c r="Y234" s="17">
        <f>SUM($X$221:X234)</f>
        <v>65994660.513540663</v>
      </c>
      <c r="Z234" s="18">
        <f t="shared" si="218"/>
        <v>67.994660513540651</v>
      </c>
      <c r="AA234" s="58">
        <f t="shared" si="219"/>
        <v>3622315.6181507278</v>
      </c>
      <c r="AB234" s="17">
        <f>SUM($AA$221:AA234)</f>
        <v>61892058.868208453</v>
      </c>
      <c r="AC234" s="18">
        <f t="shared" si="220"/>
        <v>64.392058868208451</v>
      </c>
    </row>
    <row r="235" spans="2:29" x14ac:dyDescent="0.25">
      <c r="B235">
        <v>15</v>
      </c>
      <c r="C235" s="58">
        <f t="shared" si="203"/>
        <v>4195388.2992184423</v>
      </c>
      <c r="D235" s="17">
        <f>SUM($C$221:C235)</f>
        <v>78029665.698399663</v>
      </c>
      <c r="E235" s="18">
        <f t="shared" si="206"/>
        <v>78.029665698399668</v>
      </c>
      <c r="F235" s="58">
        <f t="shared" si="204"/>
        <v>4152367.3686155276</v>
      </c>
      <c r="G235" s="17">
        <f>SUM($F$221:F235)</f>
        <v>77229523.114790678</v>
      </c>
      <c r="H235" s="18">
        <f t="shared" si="207"/>
        <v>78.72952311479068</v>
      </c>
      <c r="I235" s="58">
        <f t="shared" si="205"/>
        <v>4120201.3212937405</v>
      </c>
      <c r="J235" s="17">
        <f>SUM($I$221:I235)</f>
        <v>76631269.570577502</v>
      </c>
      <c r="K235" s="18">
        <f t="shared" si="208"/>
        <v>78.631269570577501</v>
      </c>
      <c r="L235" s="58">
        <f t="shared" si="209"/>
        <v>4136207.3188011413</v>
      </c>
      <c r="M235" s="17">
        <f>SUM($L$221:L235)</f>
        <v>76928963.739888251</v>
      </c>
      <c r="N235" s="18">
        <f t="shared" si="210"/>
        <v>79.178963739888246</v>
      </c>
      <c r="O235" s="58">
        <f t="shared" si="211"/>
        <v>4086622.1649794024</v>
      </c>
      <c r="P235" s="17">
        <f>SUM($O$221:O235)</f>
        <v>76006733.733899355</v>
      </c>
      <c r="Q235" s="18">
        <f t="shared" si="212"/>
        <v>79.006733733899353</v>
      </c>
      <c r="R235" s="58">
        <f t="shared" si="213"/>
        <v>3570844.9210391641</v>
      </c>
      <c r="S235" s="17">
        <f>SUM($R$221:R235)</f>
        <v>66413837.189139456</v>
      </c>
      <c r="T235" s="18">
        <f t="shared" si="214"/>
        <v>68.163837189139457</v>
      </c>
      <c r="U235" s="58">
        <f t="shared" si="215"/>
        <v>2920490.4472831255</v>
      </c>
      <c r="V235" s="17">
        <f>SUM($U$221:U235)</f>
        <v>54317950.335925899</v>
      </c>
      <c r="W235" s="18">
        <f t="shared" si="216"/>
        <v>57.8179503359259</v>
      </c>
      <c r="X235" s="58">
        <f t="shared" si="217"/>
        <v>3749928.0318340636</v>
      </c>
      <c r="Y235" s="17">
        <f>SUM($X$221:X235)</f>
        <v>69744588.545374721</v>
      </c>
      <c r="Z235" s="18">
        <f t="shared" si="218"/>
        <v>71.744588545374725</v>
      </c>
      <c r="AA235" s="58">
        <f t="shared" si="219"/>
        <v>3516811.2797579882</v>
      </c>
      <c r="AB235" s="17">
        <f>SUM($AA$221:AA235)</f>
        <v>65408870.147966444</v>
      </c>
      <c r="AC235" s="18">
        <f t="shared" si="220"/>
        <v>67.908870147966439</v>
      </c>
    </row>
    <row r="236" spans="2:29" x14ac:dyDescent="0.25">
      <c r="B236">
        <v>16</v>
      </c>
      <c r="C236" s="58">
        <f t="shared" si="203"/>
        <v>4073192.5235130517</v>
      </c>
      <c r="D236" s="17">
        <f>SUM($C$221:C236)</f>
        <v>82102858.221912712</v>
      </c>
      <c r="E236" s="18">
        <f t="shared" si="206"/>
        <v>82.102858221912712</v>
      </c>
      <c r="F236" s="58">
        <f t="shared" si="204"/>
        <v>4031424.6297238139</v>
      </c>
      <c r="G236" s="17">
        <f>SUM($F$221:F236)</f>
        <v>81260947.744514495</v>
      </c>
      <c r="H236" s="18">
        <f t="shared" si="207"/>
        <v>82.760947744514496</v>
      </c>
      <c r="I236" s="58">
        <f t="shared" si="205"/>
        <v>4000195.4575667391</v>
      </c>
      <c r="J236" s="17">
        <f>SUM($I$221:I236)</f>
        <v>80631465.02814424</v>
      </c>
      <c r="K236" s="18">
        <f t="shared" si="208"/>
        <v>82.631465028144234</v>
      </c>
      <c r="L236" s="58">
        <f t="shared" si="209"/>
        <v>4015735.2609719825</v>
      </c>
      <c r="M236" s="17">
        <f>SUM($L$221:L236)</f>
        <v>80944699.000860229</v>
      </c>
      <c r="N236" s="18">
        <f t="shared" si="210"/>
        <v>83.194699000860226</v>
      </c>
      <c r="O236" s="58">
        <f t="shared" si="211"/>
        <v>3967594.3349314597</v>
      </c>
      <c r="P236" s="17">
        <f>SUM($O$221:O236)</f>
        <v>79974328.068830818</v>
      </c>
      <c r="Q236" s="18">
        <f t="shared" si="212"/>
        <v>82.974328068830815</v>
      </c>
      <c r="R236" s="58">
        <f t="shared" si="213"/>
        <v>3466839.7291642376</v>
      </c>
      <c r="S236" s="17">
        <f>SUM($R$221:R236)</f>
        <v>69880676.918303698</v>
      </c>
      <c r="T236" s="18">
        <f t="shared" si="214"/>
        <v>71.630676918303692</v>
      </c>
      <c r="U236" s="58">
        <f t="shared" si="215"/>
        <v>2835427.6187214814</v>
      </c>
      <c r="V236" s="17">
        <f>SUM($U$221:U236)</f>
        <v>57153377.954647377</v>
      </c>
      <c r="W236" s="18">
        <f t="shared" si="216"/>
        <v>60.653377954647375</v>
      </c>
      <c r="X236" s="58">
        <f t="shared" si="217"/>
        <v>3640706.8270233632</v>
      </c>
      <c r="Y236" s="17">
        <f>SUM($X$221:X236)</f>
        <v>73385295.372398078</v>
      </c>
      <c r="Z236" s="18">
        <f t="shared" si="218"/>
        <v>75.385295372398076</v>
      </c>
      <c r="AA236" s="58">
        <f t="shared" si="219"/>
        <v>3414379.883260183</v>
      </c>
      <c r="AB236" s="17">
        <f>SUM($AA$221:AA236)</f>
        <v>68823250.031226635</v>
      </c>
      <c r="AC236" s="18">
        <f t="shared" si="220"/>
        <v>71.323250031226635</v>
      </c>
    </row>
    <row r="237" spans="2:29" x14ac:dyDescent="0.25">
      <c r="B237">
        <v>17</v>
      </c>
      <c r="C237" s="58">
        <f t="shared" si="203"/>
        <v>3954555.8480709237</v>
      </c>
      <c r="D237" s="17">
        <f>SUM($C$221:C237)</f>
        <v>86057414.069983631</v>
      </c>
      <c r="E237" s="18">
        <f t="shared" si="206"/>
        <v>86.057414069983636</v>
      </c>
      <c r="F237" s="58">
        <f t="shared" si="204"/>
        <v>3914004.4948774893</v>
      </c>
      <c r="G237" s="17">
        <f>SUM($F$221:F237)</f>
        <v>85174952.239391983</v>
      </c>
      <c r="H237" s="18">
        <f t="shared" si="207"/>
        <v>86.674952239391985</v>
      </c>
      <c r="I237" s="58">
        <f t="shared" si="205"/>
        <v>3883684.9102589702</v>
      </c>
      <c r="J237" s="17">
        <f>SUM($I$221:I237)</f>
        <v>84515149.938403204</v>
      </c>
      <c r="K237" s="18">
        <f t="shared" si="208"/>
        <v>86.515149938403198</v>
      </c>
      <c r="L237" s="58">
        <f t="shared" si="209"/>
        <v>3898772.098031051</v>
      </c>
      <c r="M237" s="17">
        <f>SUM($L$221:L237)</f>
        <v>84843471.098891273</v>
      </c>
      <c r="N237" s="18">
        <f t="shared" si="210"/>
        <v>87.093471098891271</v>
      </c>
      <c r="O237" s="58">
        <f t="shared" si="211"/>
        <v>3852033.3348849122</v>
      </c>
      <c r="P237" s="17">
        <f>SUM($O$221:O237)</f>
        <v>83826361.40371573</v>
      </c>
      <c r="Q237" s="18">
        <f t="shared" si="212"/>
        <v>86.826361403715737</v>
      </c>
      <c r="R237" s="58">
        <f t="shared" si="213"/>
        <v>3365863.8147225608</v>
      </c>
      <c r="S237" s="17">
        <f>SUM($R$221:R237)</f>
        <v>73246540.733026266</v>
      </c>
      <c r="T237" s="18">
        <f t="shared" si="214"/>
        <v>74.996540733026265</v>
      </c>
      <c r="U237" s="58">
        <f t="shared" si="215"/>
        <v>2752842.3482732829</v>
      </c>
      <c r="V237" s="17">
        <f>SUM($U$221:U237)</f>
        <v>59906220.302920662</v>
      </c>
      <c r="W237" s="18">
        <f t="shared" si="216"/>
        <v>63.406220302920659</v>
      </c>
      <c r="X237" s="58">
        <f t="shared" si="217"/>
        <v>3534666.82235278</v>
      </c>
      <c r="Y237" s="17">
        <f>SUM($X$221:X237)</f>
        <v>76919962.19475086</v>
      </c>
      <c r="Z237" s="18">
        <f t="shared" si="218"/>
        <v>78.919962194750866</v>
      </c>
      <c r="AA237" s="58">
        <f t="shared" si="219"/>
        <v>3314931.9254953233</v>
      </c>
      <c r="AB237" s="17">
        <f>SUM($AA$221:AA237)</f>
        <v>72138181.956721961</v>
      </c>
      <c r="AC237" s="18">
        <f t="shared" si="220"/>
        <v>74.638181956721965</v>
      </c>
    </row>
    <row r="238" spans="2:29" x14ac:dyDescent="0.25">
      <c r="B238">
        <v>18</v>
      </c>
      <c r="C238" s="58">
        <f t="shared" si="203"/>
        <v>3839374.6097775958</v>
      </c>
      <c r="D238" s="17">
        <f>SUM($C$221:C238)</f>
        <v>89896788.679761231</v>
      </c>
      <c r="E238" s="18">
        <f t="shared" si="206"/>
        <v>89.896788679761229</v>
      </c>
      <c r="F238" s="58">
        <f t="shared" si="204"/>
        <v>3800004.3639587276</v>
      </c>
      <c r="G238" s="17">
        <f>SUM($F$221:F238)</f>
        <v>88974956.603350714</v>
      </c>
      <c r="H238" s="18">
        <f t="shared" si="207"/>
        <v>90.474956603350719</v>
      </c>
      <c r="I238" s="58">
        <f t="shared" si="205"/>
        <v>3770567.8740378348</v>
      </c>
      <c r="J238" s="17">
        <f>SUM($I$221:I238)</f>
        <v>88285717.812441036</v>
      </c>
      <c r="K238" s="18">
        <f t="shared" si="208"/>
        <v>90.285717812441035</v>
      </c>
      <c r="L238" s="58">
        <f t="shared" si="209"/>
        <v>3785215.6291563604</v>
      </c>
      <c r="M238" s="17">
        <f>SUM($L$221:L238)</f>
        <v>88628686.728047639</v>
      </c>
      <c r="N238" s="18">
        <f t="shared" si="210"/>
        <v>90.87868672804764</v>
      </c>
      <c r="O238" s="58">
        <f t="shared" si="211"/>
        <v>3739838.1892086528</v>
      </c>
      <c r="P238" s="17">
        <f>SUM($O$221:O238)</f>
        <v>87566199.592924386</v>
      </c>
      <c r="Q238" s="18">
        <f t="shared" si="212"/>
        <v>90.566199592924391</v>
      </c>
      <c r="R238" s="58">
        <f t="shared" si="213"/>
        <v>3267828.9463325832</v>
      </c>
      <c r="S238" s="17">
        <f>SUM($R$221:R238)</f>
        <v>76514369.679358855</v>
      </c>
      <c r="T238" s="18">
        <f t="shared" si="214"/>
        <v>78.26436967935885</v>
      </c>
      <c r="U238" s="58">
        <f t="shared" si="215"/>
        <v>2672662.4740517312</v>
      </c>
      <c r="V238" s="17">
        <f>SUM($U$221:U238)</f>
        <v>62578882.776972391</v>
      </c>
      <c r="W238" s="18">
        <f t="shared" si="216"/>
        <v>66.078882776972392</v>
      </c>
      <c r="X238" s="58">
        <f t="shared" si="217"/>
        <v>3431715.3615075531</v>
      </c>
      <c r="Y238" s="17">
        <f>SUM($X$221:X238)</f>
        <v>80351677.55625841</v>
      </c>
      <c r="Z238" s="18">
        <f t="shared" si="218"/>
        <v>82.351677556258409</v>
      </c>
      <c r="AA238" s="58">
        <f t="shared" si="219"/>
        <v>3218380.5101896343</v>
      </c>
      <c r="AB238" s="17">
        <f>SUM($AA$221:AA238)</f>
        <v>75356562.466911599</v>
      </c>
      <c r="AC238" s="18">
        <f t="shared" si="220"/>
        <v>77.856562466911598</v>
      </c>
    </row>
    <row r="239" spans="2:29" x14ac:dyDescent="0.25">
      <c r="B239">
        <v>19</v>
      </c>
      <c r="C239" s="58">
        <f t="shared" si="203"/>
        <v>3727548.1648326176</v>
      </c>
      <c r="D239" s="17">
        <f>SUM($C$221:C239)</f>
        <v>93624336.844593853</v>
      </c>
      <c r="E239" s="18">
        <f t="shared" si="206"/>
        <v>93.624336844593856</v>
      </c>
      <c r="F239" s="58">
        <f t="shared" si="204"/>
        <v>3689324.6252026483</v>
      </c>
      <c r="G239" s="17">
        <f>SUM($F$221:F239)</f>
        <v>92664281.228553355</v>
      </c>
      <c r="H239" s="18">
        <f t="shared" si="207"/>
        <v>94.164281228553349</v>
      </c>
      <c r="I239" s="58">
        <f t="shared" si="205"/>
        <v>3660745.5087745972</v>
      </c>
      <c r="J239" s="17">
        <f>SUM($I$221:I239)</f>
        <v>91946463.32121563</v>
      </c>
      <c r="K239" s="18">
        <f t="shared" si="208"/>
        <v>93.946463321215631</v>
      </c>
      <c r="L239" s="58">
        <f t="shared" si="209"/>
        <v>3674966.6302488935</v>
      </c>
      <c r="M239" s="17">
        <f>SUM($L$221:L239)</f>
        <v>92303653.358296528</v>
      </c>
      <c r="N239" s="18">
        <f t="shared" si="210"/>
        <v>94.553653358296529</v>
      </c>
      <c r="O239" s="58">
        <f t="shared" si="211"/>
        <v>3630910.8633093718</v>
      </c>
      <c r="P239" s="17">
        <f>SUM($O$221:O239)</f>
        <v>91197110.456233755</v>
      </c>
      <c r="Q239" s="18">
        <f t="shared" si="212"/>
        <v>94.197110456233759</v>
      </c>
      <c r="R239" s="58">
        <f t="shared" si="213"/>
        <v>3172649.4624588187</v>
      </c>
      <c r="S239" s="17">
        <f>SUM($R$221:R239)</f>
        <v>79687019.141817674</v>
      </c>
      <c r="T239" s="18">
        <f t="shared" si="214"/>
        <v>81.437019141817672</v>
      </c>
      <c r="U239" s="58">
        <f t="shared" si="215"/>
        <v>2594817.9359725546</v>
      </c>
      <c r="V239" s="17">
        <f>SUM($U$221:U239)</f>
        <v>65173700.712944947</v>
      </c>
      <c r="W239" s="18">
        <f t="shared" si="216"/>
        <v>68.673700712944949</v>
      </c>
      <c r="X239" s="58">
        <f t="shared" si="217"/>
        <v>3331762.4869005373</v>
      </c>
      <c r="Y239" s="17">
        <f>SUM($X$221:X239)</f>
        <v>83683440.043158948</v>
      </c>
      <c r="Z239" s="18">
        <f t="shared" si="218"/>
        <v>85.683440043158953</v>
      </c>
      <c r="AA239" s="58">
        <f t="shared" si="219"/>
        <v>3124641.2720287712</v>
      </c>
      <c r="AB239" s="17">
        <f>SUM($AA$221:AA239)</f>
        <v>78481203.738940373</v>
      </c>
      <c r="AC239" s="18">
        <f t="shared" si="220"/>
        <v>80.98120373894038</v>
      </c>
    </row>
    <row r="240" spans="2:29" x14ac:dyDescent="0.25">
      <c r="B240">
        <v>20</v>
      </c>
      <c r="C240" s="58">
        <f t="shared" si="203"/>
        <v>3618978.8008083664</v>
      </c>
      <c r="D240" s="17">
        <f>SUM($C$221:C240)</f>
        <v>97243315.645402223</v>
      </c>
      <c r="E240" s="18">
        <f t="shared" si="206"/>
        <v>97.24331564540222</v>
      </c>
      <c r="F240" s="58">
        <f t="shared" si="204"/>
        <v>3581868.5681579108</v>
      </c>
      <c r="G240" s="17">
        <f>SUM($F$221:F240)</f>
        <v>96246149.796711266</v>
      </c>
      <c r="H240" s="18">
        <f t="shared" si="207"/>
        <v>97.746149796711265</v>
      </c>
      <c r="I240" s="58">
        <f t="shared" si="205"/>
        <v>3554121.8531792206</v>
      </c>
      <c r="J240" s="17">
        <f>SUM($I$221:I240)</f>
        <v>95500585.174394846</v>
      </c>
      <c r="K240" s="18">
        <f t="shared" si="208"/>
        <v>97.500585174394843</v>
      </c>
      <c r="L240" s="58">
        <f t="shared" si="209"/>
        <v>3567928.7672319356</v>
      </c>
      <c r="M240" s="17">
        <f>SUM($L$221:L240)</f>
        <v>95871582.12552847</v>
      </c>
      <c r="N240" s="18">
        <f t="shared" si="210"/>
        <v>98.121582125528477</v>
      </c>
      <c r="O240" s="58">
        <f t="shared" si="211"/>
        <v>3525156.1779702636</v>
      </c>
      <c r="P240" s="17">
        <f>SUM($O$221:O240)</f>
        <v>94722266.634204015</v>
      </c>
      <c r="Q240" s="18">
        <f t="shared" si="212"/>
        <v>97.722266634204018</v>
      </c>
      <c r="R240" s="58">
        <f t="shared" si="213"/>
        <v>3080242.19656196</v>
      </c>
      <c r="S240" s="17">
        <f>SUM($R$221:R240)</f>
        <v>82767261.338379636</v>
      </c>
      <c r="T240" s="18">
        <f t="shared" si="214"/>
        <v>84.51726133837964</v>
      </c>
      <c r="U240" s="58">
        <f t="shared" si="215"/>
        <v>2519240.7145364606</v>
      </c>
      <c r="V240" s="17">
        <f>SUM($U$221:U240)</f>
        <v>67692941.427481413</v>
      </c>
      <c r="W240" s="18">
        <f t="shared" si="216"/>
        <v>71.192941427481415</v>
      </c>
      <c r="X240" s="58">
        <f t="shared" si="217"/>
        <v>3234720.8610684825</v>
      </c>
      <c r="Y240" s="17">
        <f>SUM($X$221:X240)</f>
        <v>86918160.904227436</v>
      </c>
      <c r="Z240" s="18">
        <f t="shared" si="218"/>
        <v>88.918160904227435</v>
      </c>
      <c r="AA240" s="58">
        <f t="shared" si="219"/>
        <v>3033632.3029405549</v>
      </c>
      <c r="AB240" s="17">
        <f>SUM($AA$221:AA240)</f>
        <v>81514836.041880935</v>
      </c>
      <c r="AC240" s="18">
        <f t="shared" si="220"/>
        <v>84.01483604188094</v>
      </c>
    </row>
    <row r="241" spans="2:29" x14ac:dyDescent="0.25">
      <c r="B241">
        <v>21</v>
      </c>
      <c r="C241" s="58">
        <f t="shared" si="203"/>
        <v>3513571.6512702592</v>
      </c>
      <c r="D241" s="17">
        <f>SUM($C$221:C241)</f>
        <v>100756887.29667248</v>
      </c>
      <c r="E241" s="18">
        <f t="shared" si="206"/>
        <v>100.75688729667247</v>
      </c>
      <c r="F241" s="58">
        <f t="shared" si="204"/>
        <v>3477542.2991824383</v>
      </c>
      <c r="G241" s="17">
        <f>SUM($F$221:F241)</f>
        <v>99723692.095893711</v>
      </c>
      <c r="H241" s="18">
        <f t="shared" si="207"/>
        <v>101.22369209589371</v>
      </c>
      <c r="I241" s="58">
        <f t="shared" si="205"/>
        <v>3450603.7409506999</v>
      </c>
      <c r="J241" s="17">
        <f>SUM($I$221:I241)</f>
        <v>98951188.91534555</v>
      </c>
      <c r="K241" s="18">
        <f t="shared" si="208"/>
        <v>100.95118891534555</v>
      </c>
      <c r="L241" s="58">
        <f t="shared" si="209"/>
        <v>3464008.5118756662</v>
      </c>
      <c r="M241" s="17">
        <f>SUM($L$221:L241)</f>
        <v>99335590.637404129</v>
      </c>
      <c r="N241" s="18">
        <f t="shared" si="210"/>
        <v>101.58559063740412</v>
      </c>
      <c r="O241" s="58">
        <f t="shared" si="211"/>
        <v>3422481.7261847225</v>
      </c>
      <c r="P241" s="17">
        <f>SUM($O$221:O241)</f>
        <v>98144748.360388741</v>
      </c>
      <c r="Q241" s="18">
        <f t="shared" si="212"/>
        <v>101.14474836038875</v>
      </c>
      <c r="R241" s="58">
        <f t="shared" si="213"/>
        <v>2990526.4044290874</v>
      </c>
      <c r="S241" s="17">
        <f>SUM($R$221:R241)</f>
        <v>85757787.742808729</v>
      </c>
      <c r="T241" s="18">
        <f t="shared" si="214"/>
        <v>87.507787742808731</v>
      </c>
      <c r="U241" s="58">
        <f t="shared" si="215"/>
        <v>2445864.7713946225</v>
      </c>
      <c r="V241" s="17">
        <f>SUM($U$221:U241)</f>
        <v>70138806.198876038</v>
      </c>
      <c r="W241" s="18">
        <f t="shared" si="216"/>
        <v>73.63880619887604</v>
      </c>
      <c r="X241" s="58">
        <f t="shared" si="217"/>
        <v>3140505.6903577507</v>
      </c>
      <c r="Y241" s="17">
        <f>SUM($X$221:X241)</f>
        <v>90058666.59458518</v>
      </c>
      <c r="Z241" s="18">
        <f t="shared" si="218"/>
        <v>92.058666594585176</v>
      </c>
      <c r="AA241" s="58">
        <f t="shared" si="219"/>
        <v>2945274.0805248106</v>
      </c>
      <c r="AB241" s="17">
        <f>SUM($AA$221:AA241)</f>
        <v>84460110.122405753</v>
      </c>
      <c r="AC241" s="18">
        <f t="shared" si="220"/>
        <v>86.960110122405752</v>
      </c>
    </row>
    <row r="242" spans="2:29" x14ac:dyDescent="0.25">
      <c r="B242">
        <v>22</v>
      </c>
      <c r="C242" s="58">
        <f t="shared" si="203"/>
        <v>3411234.6128837466</v>
      </c>
      <c r="D242" s="17">
        <f>SUM($C$221:C242)</f>
        <v>104168121.90955622</v>
      </c>
      <c r="E242" s="18">
        <f t="shared" si="206"/>
        <v>104.16812190955622</v>
      </c>
      <c r="F242" s="58">
        <f t="shared" si="204"/>
        <v>3376254.6594004249</v>
      </c>
      <c r="G242" s="17">
        <f>SUM($F$221:F242)</f>
        <v>103099946.75529413</v>
      </c>
      <c r="H242" s="18">
        <f t="shared" si="207"/>
        <v>104.59994675529413</v>
      </c>
      <c r="I242" s="58">
        <f t="shared" si="205"/>
        <v>3350100.7193696112</v>
      </c>
      <c r="J242" s="17">
        <f>SUM($I$221:I242)</f>
        <v>102301289.63471515</v>
      </c>
      <c r="K242" s="18">
        <f t="shared" si="208"/>
        <v>104.30128963471516</v>
      </c>
      <c r="L242" s="58">
        <f t="shared" si="209"/>
        <v>3363115.0600734618</v>
      </c>
      <c r="M242" s="17">
        <f>SUM($L$221:L242)</f>
        <v>102698705.69747759</v>
      </c>
      <c r="N242" s="18">
        <f t="shared" si="210"/>
        <v>104.94870569747759</v>
      </c>
      <c r="O242" s="58">
        <f t="shared" si="211"/>
        <v>3322797.7924123518</v>
      </c>
      <c r="P242" s="17">
        <f>SUM($O$221:O242)</f>
        <v>101467546.1528011</v>
      </c>
      <c r="Q242" s="18">
        <f t="shared" si="212"/>
        <v>104.46754615280109</v>
      </c>
      <c r="R242" s="58">
        <f t="shared" si="213"/>
        <v>2903423.6936204731</v>
      </c>
      <c r="S242" s="17">
        <f>SUM($R$221:R242)</f>
        <v>88661211.436429203</v>
      </c>
      <c r="T242" s="18">
        <f t="shared" si="214"/>
        <v>90.411211436429198</v>
      </c>
      <c r="U242" s="58">
        <f t="shared" si="215"/>
        <v>2374625.991645264</v>
      </c>
      <c r="V242" s="17">
        <f>SUM($U$221:U242)</f>
        <v>72513432.1905213</v>
      </c>
      <c r="W242" s="18">
        <f t="shared" si="216"/>
        <v>76.0134321905213</v>
      </c>
      <c r="X242" s="58">
        <f t="shared" si="217"/>
        <v>3049034.6508327671</v>
      </c>
      <c r="Y242" s="17">
        <f>SUM($X$221:X242)</f>
        <v>93107701.245417953</v>
      </c>
      <c r="Z242" s="18">
        <f t="shared" si="218"/>
        <v>95.107701245417957</v>
      </c>
      <c r="AA242" s="58">
        <f t="shared" si="219"/>
        <v>2859489.3985677771</v>
      </c>
      <c r="AB242" s="17">
        <f>SUM($AA$221:AA242)</f>
        <v>87319599.520973533</v>
      </c>
      <c r="AC242" s="18">
        <f t="shared" si="220"/>
        <v>89.81959952097354</v>
      </c>
    </row>
    <row r="243" spans="2:29" x14ac:dyDescent="0.25">
      <c r="B243">
        <v>23</v>
      </c>
      <c r="C243" s="58">
        <f t="shared" si="203"/>
        <v>3311878.264935676</v>
      </c>
      <c r="D243" s="17">
        <f>SUM($C$221:C243)</f>
        <v>107480000.1744919</v>
      </c>
      <c r="E243" s="18">
        <f t="shared" si="206"/>
        <v>107.48000017449189</v>
      </c>
      <c r="F243" s="58">
        <f t="shared" si="204"/>
        <v>3277917.1450489564</v>
      </c>
      <c r="G243" s="17">
        <f>SUM($F$221:F243)</f>
        <v>106377863.90034309</v>
      </c>
      <c r="H243" s="18">
        <f t="shared" si="207"/>
        <v>107.87786390034309</v>
      </c>
      <c r="I243" s="58">
        <f t="shared" si="205"/>
        <v>3252524.9702617582</v>
      </c>
      <c r="J243" s="17">
        <f>SUM($I$221:I243)</f>
        <v>105553814.60497691</v>
      </c>
      <c r="K243" s="18">
        <f t="shared" si="208"/>
        <v>107.55381460497691</v>
      </c>
      <c r="L243" s="58">
        <f t="shared" si="209"/>
        <v>3265160.2524985066</v>
      </c>
      <c r="M243" s="17">
        <f>SUM($L$221:L243)</f>
        <v>105963865.9499761</v>
      </c>
      <c r="N243" s="18">
        <f t="shared" si="210"/>
        <v>108.2138659499761</v>
      </c>
      <c r="O243" s="58">
        <f t="shared" si="211"/>
        <v>3226017.274186749</v>
      </c>
      <c r="P243" s="17">
        <f>SUM($O$221:O243)</f>
        <v>104693563.42698784</v>
      </c>
      <c r="Q243" s="18">
        <f t="shared" si="212"/>
        <v>107.69356342698784</v>
      </c>
      <c r="R243" s="58">
        <f t="shared" si="213"/>
        <v>2818857.954971333</v>
      </c>
      <c r="S243" s="17">
        <f>SUM($R$221:R243)</f>
        <v>91480069.391400531</v>
      </c>
      <c r="T243" s="18">
        <f t="shared" si="214"/>
        <v>93.230069391400534</v>
      </c>
      <c r="U243" s="58">
        <f t="shared" si="215"/>
        <v>2305462.127810936</v>
      </c>
      <c r="V243" s="17">
        <f>SUM($U$221:U243)</f>
        <v>74818894.31833224</v>
      </c>
      <c r="W243" s="18">
        <f t="shared" si="216"/>
        <v>78.318894318332241</v>
      </c>
      <c r="X243" s="58">
        <f t="shared" si="217"/>
        <v>2960227.8163424926</v>
      </c>
      <c r="Y243" s="17">
        <f>SUM($X$221:X243)</f>
        <v>96067929.06176044</v>
      </c>
      <c r="Z243" s="18">
        <f t="shared" si="218"/>
        <v>98.067929061760438</v>
      </c>
      <c r="AA243" s="58">
        <f t="shared" si="219"/>
        <v>2776203.2995803659</v>
      </c>
      <c r="AB243" s="17">
        <f>SUM($AA$221:AA243)</f>
        <v>90095802.820553899</v>
      </c>
      <c r="AC243" s="18">
        <f t="shared" si="220"/>
        <v>92.595802820553899</v>
      </c>
    </row>
    <row r="244" spans="2:29" x14ac:dyDescent="0.25">
      <c r="B244">
        <v>24</v>
      </c>
      <c r="C244" s="58">
        <f t="shared" si="203"/>
        <v>3215415.791199686</v>
      </c>
      <c r="D244" s="17">
        <f>SUM($C$221:C244)</f>
        <v>110695415.96569158</v>
      </c>
      <c r="E244" s="18">
        <f t="shared" si="206"/>
        <v>110.69541596569158</v>
      </c>
      <c r="F244" s="58">
        <f t="shared" si="204"/>
        <v>3182443.8301446182</v>
      </c>
      <c r="G244" s="17">
        <f>SUM($F$221:F244)</f>
        <v>109560307.7304877</v>
      </c>
      <c r="H244" s="18">
        <f t="shared" si="207"/>
        <v>111.06030773048771</v>
      </c>
      <c r="I244" s="58">
        <f t="shared" si="205"/>
        <v>3157791.2332638437</v>
      </c>
      <c r="J244" s="17">
        <f>SUM($I$221:I244)</f>
        <v>108711605.83824076</v>
      </c>
      <c r="K244" s="18">
        <f t="shared" si="208"/>
        <v>110.71160583824076</v>
      </c>
      <c r="L244" s="58">
        <f t="shared" si="209"/>
        <v>3170058.4975713659</v>
      </c>
      <c r="M244" s="17">
        <f>SUM($L$221:L244)</f>
        <v>109133924.44754747</v>
      </c>
      <c r="N244" s="18">
        <f t="shared" si="210"/>
        <v>111.38392444754747</v>
      </c>
      <c r="O244" s="58">
        <f t="shared" si="211"/>
        <v>3132055.6060065529</v>
      </c>
      <c r="P244" s="17">
        <f>SUM($O$221:O244)</f>
        <v>107825619.03299439</v>
      </c>
      <c r="Q244" s="18">
        <f t="shared" si="212"/>
        <v>110.8256190329944</v>
      </c>
      <c r="R244" s="58">
        <f t="shared" si="213"/>
        <v>2736755.2960886732</v>
      </c>
      <c r="S244" s="17">
        <f>SUM($R$221:R244)</f>
        <v>94216824.687489212</v>
      </c>
      <c r="T244" s="18">
        <f t="shared" si="214"/>
        <v>95.966824687489208</v>
      </c>
      <c r="U244" s="58">
        <f t="shared" si="215"/>
        <v>2238312.7454475109</v>
      </c>
      <c r="V244" s="17">
        <f>SUM($U$221:U244)</f>
        <v>77057207.063779756</v>
      </c>
      <c r="W244" s="18">
        <f t="shared" si="216"/>
        <v>80.557207063779757</v>
      </c>
      <c r="X244" s="58">
        <f t="shared" si="217"/>
        <v>2874007.5886820317</v>
      </c>
      <c r="Y244" s="17">
        <f>SUM($X$221:X244)</f>
        <v>98941936.650442466</v>
      </c>
      <c r="Z244" s="18">
        <f t="shared" si="218"/>
        <v>100.94193665044247</v>
      </c>
      <c r="AA244" s="58">
        <f t="shared" si="219"/>
        <v>2695343.0093013267</v>
      </c>
      <c r="AB244" s="17">
        <f>SUM($AA$221:AA244)</f>
        <v>92791145.829855219</v>
      </c>
      <c r="AC244" s="18">
        <f t="shared" si="220"/>
        <v>95.291145829855225</v>
      </c>
    </row>
    <row r="245" spans="2:29" ht="15.75" thickBot="1" x14ac:dyDescent="0.3">
      <c r="B245">
        <v>25</v>
      </c>
      <c r="C245" s="59">
        <f t="shared" si="203"/>
        <v>3121762.9040773651</v>
      </c>
      <c r="D245" s="23">
        <f>SUM($C$221:C245)</f>
        <v>113817178.86976895</v>
      </c>
      <c r="E245" s="24">
        <f t="shared" si="206"/>
        <v>113.81717886976895</v>
      </c>
      <c r="F245" s="59">
        <f t="shared" si="204"/>
        <v>3089751.291402542</v>
      </c>
      <c r="G245" s="23">
        <f>SUM($F$221:F245)</f>
        <v>112650059.02189025</v>
      </c>
      <c r="H245" s="24">
        <f t="shared" si="207"/>
        <v>114.15005902189026</v>
      </c>
      <c r="I245" s="59">
        <f t="shared" si="205"/>
        <v>3065816.73132412</v>
      </c>
      <c r="J245" s="23">
        <f>SUM($I$221:I245)</f>
        <v>111777422.56956488</v>
      </c>
      <c r="K245" s="24">
        <f t="shared" si="208"/>
        <v>113.77742256956488</v>
      </c>
      <c r="L245" s="59">
        <f t="shared" si="209"/>
        <v>3077726.6966712293</v>
      </c>
      <c r="M245" s="23">
        <f>SUM($L$221:L245)</f>
        <v>112211651.1442187</v>
      </c>
      <c r="N245" s="18">
        <f t="shared" si="210"/>
        <v>114.46165114421869</v>
      </c>
      <c r="O245" s="59">
        <f t="shared" si="211"/>
        <v>3040830.6854432551</v>
      </c>
      <c r="P245" s="23">
        <f>SUM($O$221:O245)</f>
        <v>110866449.71843764</v>
      </c>
      <c r="Q245" s="18">
        <f t="shared" si="212"/>
        <v>113.86644971843764</v>
      </c>
      <c r="R245" s="58">
        <f t="shared" si="213"/>
        <v>2657043.9767851196</v>
      </c>
      <c r="S245" s="17">
        <f>SUM($R$221:R245)</f>
        <v>96873868.664274335</v>
      </c>
      <c r="T245" s="18">
        <f t="shared" si="214"/>
        <v>98.62386866427434</v>
      </c>
      <c r="U245" s="58">
        <f t="shared" si="215"/>
        <v>2173119.1703373892</v>
      </c>
      <c r="V245" s="17">
        <f>SUM($U$221:U245)</f>
        <v>79230326.23411715</v>
      </c>
      <c r="W245" s="18">
        <f t="shared" si="216"/>
        <v>82.730326234117143</v>
      </c>
      <c r="X245" s="58">
        <f>$L$62/(1+$L$61/100)^B245</f>
        <v>2790298.6297883806</v>
      </c>
      <c r="Y245" s="17">
        <f>SUM($X$221:X245)</f>
        <v>101732235.28023085</v>
      </c>
      <c r="Z245" s="18">
        <f t="shared" si="218"/>
        <v>103.73223528023085</v>
      </c>
      <c r="AA245" s="58">
        <f t="shared" si="219"/>
        <v>2616837.8731080843</v>
      </c>
      <c r="AB245" s="17">
        <f>SUM($AA$221:AA245)</f>
        <v>95407983.702963307</v>
      </c>
      <c r="AC245" s="18">
        <f t="shared" si="220"/>
        <v>97.907983702963307</v>
      </c>
    </row>
    <row r="265" spans="16:16" x14ac:dyDescent="0.25">
      <c r="P265" t="e">
        <f>(General_Modified!$E$245,General_Modified!$H$245,General_Modified!$K$245,General_Modified!$N$245,General_Modified!$Q$245,General_Modified!$T$245,General_Modified!$W$245,General_Modified!$Z$245,General_Modified!$AC$245)</f>
        <v>#VALUE!</v>
      </c>
    </row>
  </sheetData>
  <mergeCells count="20">
    <mergeCell ref="A37:C37"/>
    <mergeCell ref="C219:E219"/>
    <mergeCell ref="F219:H219"/>
    <mergeCell ref="L219:N219"/>
    <mergeCell ref="BJ81:BP81"/>
    <mergeCell ref="AA219:AC219"/>
    <mergeCell ref="AH81:AN81"/>
    <mergeCell ref="AO81:AU81"/>
    <mergeCell ref="AV81:BB81"/>
    <mergeCell ref="BC81:BI81"/>
    <mergeCell ref="O219:Q219"/>
    <mergeCell ref="R219:T219"/>
    <mergeCell ref="U219:W219"/>
    <mergeCell ref="X219:Z219"/>
    <mergeCell ref="I219:K219"/>
    <mergeCell ref="Z1:Z5"/>
    <mergeCell ref="F81:L81"/>
    <mergeCell ref="M81:S81"/>
    <mergeCell ref="T81:Z81"/>
    <mergeCell ref="AA81:AG81"/>
  </mergeCells>
  <phoneticPr fontId="6" type="noConversion"/>
  <dataValidations count="1">
    <dataValidation type="list" allowBlank="1" showInputMessage="1" showErrorMessage="1" sqref="E20:M20" xr:uid="{2E773040-0894-48C7-A5AC-FBD526EE80FE}">
      <formula1>$T$2:$T$5</formula1>
    </dataValidation>
  </dataValidations>
  <pageMargins left="0.7" right="0.7" top="0.75" bottom="0.7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General_Modified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Matthaios Zampikos</dc:creator>
  <cp:keywords/>
  <dc:description/>
  <cp:lastModifiedBy>Christos Dimas</cp:lastModifiedBy>
  <cp:revision/>
  <dcterms:created xsi:type="dcterms:W3CDTF">2026-08-09T12:23:55Z</dcterms:created>
  <dcterms:modified xsi:type="dcterms:W3CDTF">2026-10-22T17:11:51Z</dcterms:modified>
  <cp:category/>
  <cp:contentStatus/>
</cp:coreProperties>
</file>